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itya Nair\iCloudDrive\"/>
    </mc:Choice>
  </mc:AlternateContent>
  <xr:revisionPtr revIDLastSave="0" documentId="8_{F4B7C2E1-187C-4C96-95F8-217A77ADADE3}" xr6:coauthVersionLast="47" xr6:coauthVersionMax="47" xr10:uidLastSave="{00000000-0000-0000-0000-000000000000}"/>
  <bookViews>
    <workbookView xWindow="7650" yWindow="-16320" windowWidth="29040" windowHeight="15720" tabRatio="852" xr2:uid="{00000000-000D-0000-FFFF-FFFF00000000}"/>
  </bookViews>
  <sheets>
    <sheet name="Summary" sheetId="1" r:id="rId1"/>
    <sheet name="Assumptions" sheetId="2" r:id="rId2"/>
    <sheet name="Historicals" sheetId="3" r:id="rId3"/>
    <sheet name="RevBuild" sheetId="4" r:id="rId4"/>
    <sheet name="Model" sheetId="5" r:id="rId5"/>
    <sheet name="Ratios" sheetId="12" r:id="rId6"/>
    <sheet name="WACC" sheetId="6" r:id="rId7"/>
    <sheet name="Sensitivity" sheetId="7" r:id="rId8"/>
    <sheet name="DCF" sheetId="8" r:id="rId9"/>
    <sheet name="SOTP" sheetId="9" r:id="rId10"/>
    <sheet name="Comps" sheetId="10" r:id="rId11"/>
    <sheet name="Scenarios" sheetId="11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6" i="8" l="1"/>
  <c r="L53" i="8"/>
  <c r="D26" i="12"/>
  <c r="D15" i="12"/>
  <c r="F42" i="11"/>
  <c r="C40" i="1" s="1"/>
  <c r="J29" i="11"/>
  <c r="I29" i="11"/>
  <c r="H29" i="11"/>
  <c r="G29" i="11"/>
  <c r="F29" i="11"/>
  <c r="E29" i="11"/>
  <c r="D29" i="11"/>
  <c r="E23" i="11"/>
  <c r="J20" i="11"/>
  <c r="I20" i="11"/>
  <c r="H20" i="11"/>
  <c r="G20" i="11"/>
  <c r="F20" i="11"/>
  <c r="E20" i="11"/>
  <c r="D20" i="11"/>
  <c r="J18" i="11"/>
  <c r="I18" i="11"/>
  <c r="H18" i="11"/>
  <c r="G18" i="11"/>
  <c r="F18" i="11"/>
  <c r="E18" i="11"/>
  <c r="D18" i="11"/>
  <c r="J17" i="11"/>
  <c r="I17" i="11"/>
  <c r="H17" i="11"/>
  <c r="G17" i="11"/>
  <c r="F17" i="11"/>
  <c r="E17" i="11"/>
  <c r="D17" i="11"/>
  <c r="J9" i="11"/>
  <c r="I9" i="11"/>
  <c r="H9" i="11"/>
  <c r="G9" i="11"/>
  <c r="F9" i="11"/>
  <c r="E9" i="11"/>
  <c r="D9" i="11"/>
  <c r="C9" i="10"/>
  <c r="F7" i="10"/>
  <c r="H7" i="10" s="1"/>
  <c r="D31" i="9" s="1"/>
  <c r="H6" i="10"/>
  <c r="F6" i="10"/>
  <c r="D14" i="10" s="1"/>
  <c r="D22" i="9"/>
  <c r="L41" i="8"/>
  <c r="L38" i="8"/>
  <c r="L26" i="8"/>
  <c r="L8" i="8"/>
  <c r="K8" i="8"/>
  <c r="J8" i="8"/>
  <c r="I8" i="8"/>
  <c r="H8" i="8"/>
  <c r="G8" i="8"/>
  <c r="F8" i="8"/>
  <c r="D22" i="6"/>
  <c r="D23" i="6" s="1"/>
  <c r="F10" i="6"/>
  <c r="F9" i="6"/>
  <c r="F8" i="6"/>
  <c r="F7" i="6"/>
  <c r="F6" i="6"/>
  <c r="F11" i="6" s="1"/>
  <c r="D95" i="5"/>
  <c r="D94" i="5"/>
  <c r="E83" i="5"/>
  <c r="L69" i="5"/>
  <c r="K69" i="5"/>
  <c r="J69" i="5"/>
  <c r="I69" i="5"/>
  <c r="H69" i="5"/>
  <c r="G69" i="5"/>
  <c r="F69" i="5"/>
  <c r="E69" i="5"/>
  <c r="L61" i="5"/>
  <c r="K61" i="5"/>
  <c r="J61" i="5"/>
  <c r="I61" i="5"/>
  <c r="H61" i="5"/>
  <c r="G61" i="5"/>
  <c r="F61" i="5"/>
  <c r="E61" i="5"/>
  <c r="E59" i="5"/>
  <c r="D52" i="5"/>
  <c r="D55" i="5" s="1"/>
  <c r="E51" i="5"/>
  <c r="D45" i="5"/>
  <c r="E44" i="5"/>
  <c r="E43" i="5"/>
  <c r="F43" i="5" s="1"/>
  <c r="G43" i="5" s="1"/>
  <c r="H43" i="5" s="1"/>
  <c r="I43" i="5" s="1"/>
  <c r="J43" i="5" s="1"/>
  <c r="K43" i="5" s="1"/>
  <c r="L43" i="5" s="1"/>
  <c r="E42" i="5"/>
  <c r="F42" i="5" s="1"/>
  <c r="G42" i="5" s="1"/>
  <c r="L32" i="5"/>
  <c r="K32" i="5"/>
  <c r="J32" i="5"/>
  <c r="I32" i="5"/>
  <c r="H32" i="5"/>
  <c r="G32" i="5"/>
  <c r="F32" i="5"/>
  <c r="E32" i="5"/>
  <c r="D29" i="5"/>
  <c r="D25" i="5"/>
  <c r="D24" i="5"/>
  <c r="L21" i="5"/>
  <c r="K21" i="5"/>
  <c r="J21" i="5"/>
  <c r="I21" i="5"/>
  <c r="H21" i="5"/>
  <c r="G21" i="5"/>
  <c r="F21" i="5"/>
  <c r="E21" i="5"/>
  <c r="D21" i="5"/>
  <c r="G41" i="4"/>
  <c r="L34" i="4"/>
  <c r="L18" i="5" s="1"/>
  <c r="K34" i="4"/>
  <c r="K18" i="5" s="1"/>
  <c r="J34" i="4"/>
  <c r="J18" i="5" s="1"/>
  <c r="I34" i="4"/>
  <c r="I18" i="5" s="1"/>
  <c r="H34" i="4"/>
  <c r="H18" i="5" s="1"/>
  <c r="G34" i="4"/>
  <c r="G18" i="5" s="1"/>
  <c r="F34" i="4"/>
  <c r="F18" i="5" s="1"/>
  <c r="E34" i="4"/>
  <c r="E18" i="5" s="1"/>
  <c r="D34" i="4"/>
  <c r="D18" i="5" s="1"/>
  <c r="L33" i="4"/>
  <c r="L41" i="4" s="1"/>
  <c r="K33" i="4"/>
  <c r="K41" i="4" s="1"/>
  <c r="J33" i="4"/>
  <c r="J41" i="4" s="1"/>
  <c r="I33" i="4"/>
  <c r="I41" i="4" s="1"/>
  <c r="H33" i="4"/>
  <c r="H41" i="4" s="1"/>
  <c r="G33" i="4"/>
  <c r="F33" i="4"/>
  <c r="F41" i="4" s="1"/>
  <c r="E33" i="4"/>
  <c r="E41" i="4" s="1"/>
  <c r="D33" i="4"/>
  <c r="D41" i="4" s="1"/>
  <c r="E31" i="4"/>
  <c r="F31" i="4" s="1"/>
  <c r="D31" i="4"/>
  <c r="D39" i="4" s="1"/>
  <c r="E28" i="4"/>
  <c r="E30" i="4" s="1"/>
  <c r="E16" i="5" s="1"/>
  <c r="D28" i="4"/>
  <c r="L24" i="4"/>
  <c r="K24" i="4"/>
  <c r="J24" i="4"/>
  <c r="I24" i="4"/>
  <c r="H24" i="4"/>
  <c r="G24" i="4"/>
  <c r="F24" i="4"/>
  <c r="E24" i="4"/>
  <c r="D24" i="4"/>
  <c r="L22" i="4"/>
  <c r="K22" i="4"/>
  <c r="J22" i="4"/>
  <c r="I22" i="4"/>
  <c r="H22" i="4"/>
  <c r="G22" i="4"/>
  <c r="F22" i="4"/>
  <c r="E22" i="4"/>
  <c r="D22" i="4"/>
  <c r="E20" i="4"/>
  <c r="F20" i="4" s="1"/>
  <c r="F25" i="4" s="1"/>
  <c r="F14" i="5" s="1"/>
  <c r="D20" i="4"/>
  <c r="L16" i="4"/>
  <c r="K16" i="4"/>
  <c r="J16" i="4"/>
  <c r="I16" i="4"/>
  <c r="H16" i="4"/>
  <c r="G16" i="4"/>
  <c r="F16" i="4"/>
  <c r="E16" i="4"/>
  <c r="D16" i="4"/>
  <c r="L14" i="4"/>
  <c r="K14" i="4"/>
  <c r="J14" i="4"/>
  <c r="I14" i="4"/>
  <c r="H14" i="4"/>
  <c r="G14" i="4"/>
  <c r="F14" i="4"/>
  <c r="E14" i="4"/>
  <c r="D14" i="4"/>
  <c r="L11" i="4"/>
  <c r="L36" i="12" s="1"/>
  <c r="K11" i="4"/>
  <c r="K36" i="12" s="1"/>
  <c r="J11" i="4"/>
  <c r="J36" i="12" s="1"/>
  <c r="I11" i="4"/>
  <c r="I36" i="12" s="1"/>
  <c r="H11" i="4"/>
  <c r="H36" i="12" s="1"/>
  <c r="G11" i="4"/>
  <c r="G36" i="12" s="1"/>
  <c r="F11" i="4"/>
  <c r="F36" i="12" s="1"/>
  <c r="E11" i="4"/>
  <c r="E36" i="12" s="1"/>
  <c r="D11" i="4"/>
  <c r="D36" i="12" s="1"/>
  <c r="L9" i="4"/>
  <c r="L50" i="5" s="1"/>
  <c r="L41" i="5" s="1"/>
  <c r="K9" i="4"/>
  <c r="K50" i="5" s="1"/>
  <c r="K41" i="5" s="1"/>
  <c r="J9" i="4"/>
  <c r="I9" i="4"/>
  <c r="I50" i="5" s="1"/>
  <c r="I41" i="5" s="1"/>
  <c r="H9" i="4"/>
  <c r="H50" i="5" s="1"/>
  <c r="H41" i="5" s="1"/>
  <c r="G9" i="4"/>
  <c r="G50" i="5" s="1"/>
  <c r="F9" i="4"/>
  <c r="F50" i="5" s="1"/>
  <c r="E9" i="4"/>
  <c r="F7" i="4" s="1"/>
  <c r="D9" i="4"/>
  <c r="D8" i="4"/>
  <c r="H7" i="4"/>
  <c r="H10" i="4" s="1"/>
  <c r="G7" i="4"/>
  <c r="G10" i="4" s="1"/>
  <c r="G104" i="3"/>
  <c r="F104" i="3"/>
  <c r="E104" i="3"/>
  <c r="D104" i="3"/>
  <c r="G100" i="3"/>
  <c r="F100" i="3"/>
  <c r="E100" i="3"/>
  <c r="D100" i="3"/>
  <c r="C100" i="3"/>
  <c r="G92" i="3"/>
  <c r="G102" i="3" s="1"/>
  <c r="F92" i="3"/>
  <c r="F102" i="3" s="1"/>
  <c r="E92" i="3"/>
  <c r="E102" i="3" s="1"/>
  <c r="D92" i="3"/>
  <c r="D102" i="3" s="1"/>
  <c r="C92" i="3"/>
  <c r="C102" i="3" s="1"/>
  <c r="G90" i="3"/>
  <c r="F90" i="3"/>
  <c r="E90" i="3"/>
  <c r="D90" i="3"/>
  <c r="C90" i="3"/>
  <c r="G83" i="3"/>
  <c r="F83" i="3"/>
  <c r="E83" i="3"/>
  <c r="D83" i="3"/>
  <c r="C83" i="3"/>
  <c r="G81" i="3"/>
  <c r="F81" i="3"/>
  <c r="E81" i="3"/>
  <c r="D81" i="3"/>
  <c r="C81" i="3"/>
  <c r="G74" i="3"/>
  <c r="F74" i="3"/>
  <c r="E74" i="3"/>
  <c r="D74" i="3"/>
  <c r="C74" i="3"/>
  <c r="G71" i="3"/>
  <c r="G75" i="3" s="1"/>
  <c r="F71" i="3"/>
  <c r="F75" i="3" s="1"/>
  <c r="E71" i="3"/>
  <c r="E75" i="3" s="1"/>
  <c r="D71" i="3"/>
  <c r="D75" i="3" s="1"/>
  <c r="C71" i="3"/>
  <c r="H50" i="3"/>
  <c r="H49" i="3"/>
  <c r="H51" i="3" s="1"/>
  <c r="C37" i="1" s="1"/>
  <c r="H48" i="3"/>
  <c r="I39" i="3"/>
  <c r="I40" i="3" s="1"/>
  <c r="H39" i="3"/>
  <c r="H40" i="3" s="1"/>
  <c r="G39" i="3"/>
  <c r="G40" i="3" s="1"/>
  <c r="I30" i="3"/>
  <c r="I31" i="3" s="1"/>
  <c r="H30" i="3"/>
  <c r="H31" i="3" s="1"/>
  <c r="G30" i="3"/>
  <c r="G31" i="3" s="1"/>
  <c r="I10" i="3"/>
  <c r="I12" i="3" s="1"/>
  <c r="H10" i="3"/>
  <c r="H12" i="3" s="1"/>
  <c r="G10" i="3"/>
  <c r="G12" i="3" s="1"/>
  <c r="G93" i="3" s="1"/>
  <c r="F10" i="3"/>
  <c r="F12" i="3" s="1"/>
  <c r="F93" i="3" s="1"/>
  <c r="E10" i="3"/>
  <c r="E12" i="3" s="1"/>
  <c r="D10" i="3"/>
  <c r="D12" i="3" s="1"/>
  <c r="C10" i="3"/>
  <c r="C12" i="3" s="1"/>
  <c r="G8" i="3"/>
  <c r="F8" i="3"/>
  <c r="E8" i="3"/>
  <c r="D8" i="3"/>
  <c r="D8" i="2"/>
  <c r="C38" i="1"/>
  <c r="D21" i="1"/>
  <c r="C13" i="1"/>
  <c r="C6" i="1"/>
  <c r="I7" i="4" l="1"/>
  <c r="I10" i="4" s="1"/>
  <c r="J7" i="4"/>
  <c r="J10" i="4" s="1"/>
  <c r="J88" i="5" s="1"/>
  <c r="D25" i="4"/>
  <c r="D14" i="5" s="1"/>
  <c r="D24" i="6"/>
  <c r="E25" i="4"/>
  <c r="E14" i="5" s="1"/>
  <c r="D23" i="4"/>
  <c r="D38" i="4" s="1"/>
  <c r="D56" i="5"/>
  <c r="C35" i="1" s="1"/>
  <c r="E50" i="5"/>
  <c r="D25" i="6" s="1"/>
  <c r="D10" i="9"/>
  <c r="F10" i="9" s="1"/>
  <c r="F39" i="4"/>
  <c r="F32" i="4"/>
  <c r="F17" i="5" s="1"/>
  <c r="G31" i="4"/>
  <c r="F10" i="4"/>
  <c r="F88" i="5" s="1"/>
  <c r="F8" i="4"/>
  <c r="F21" i="4"/>
  <c r="G19" i="11"/>
  <c r="E21" i="4"/>
  <c r="G8" i="4"/>
  <c r="D19" i="11"/>
  <c r="E32" i="4"/>
  <c r="E17" i="5" s="1"/>
  <c r="E39" i="4"/>
  <c r="I19" i="11"/>
  <c r="H19" i="11"/>
  <c r="J19" i="11"/>
  <c r="I8" i="4"/>
  <c r="D32" i="4"/>
  <c r="D17" i="5" s="1"/>
  <c r="I89" i="5"/>
  <c r="I29" i="5" s="1"/>
  <c r="H8" i="4"/>
  <c r="E23" i="4"/>
  <c r="E38" i="4" s="1"/>
  <c r="E29" i="4"/>
  <c r="E40" i="4" s="1"/>
  <c r="D43" i="12"/>
  <c r="D82" i="3"/>
  <c r="D42" i="1" s="1"/>
  <c r="E82" i="3"/>
  <c r="E42" i="1" s="1"/>
  <c r="F82" i="3"/>
  <c r="F42" i="1" s="1"/>
  <c r="G82" i="3"/>
  <c r="G42" i="1" s="1"/>
  <c r="H42" i="5"/>
  <c r="D29" i="4"/>
  <c r="D40" i="4" s="1"/>
  <c r="D30" i="4"/>
  <c r="D16" i="5" s="1"/>
  <c r="C13" i="3"/>
  <c r="C20" i="3"/>
  <c r="D13" i="3"/>
  <c r="D20" i="3"/>
  <c r="D25" i="12"/>
  <c r="D24" i="12"/>
  <c r="G13" i="3"/>
  <c r="G20" i="3"/>
  <c r="E13" i="3"/>
  <c r="E20" i="3"/>
  <c r="F13" i="3"/>
  <c r="F20" i="3"/>
  <c r="H13" i="3"/>
  <c r="H20" i="3"/>
  <c r="G88" i="5"/>
  <c r="G12" i="4"/>
  <c r="H88" i="5"/>
  <c r="H12" i="4"/>
  <c r="I20" i="3"/>
  <c r="I13" i="3"/>
  <c r="I88" i="5"/>
  <c r="I12" i="4"/>
  <c r="G89" i="5"/>
  <c r="G29" i="5" s="1"/>
  <c r="G41" i="5"/>
  <c r="H89" i="5"/>
  <c r="H29" i="5" s="1"/>
  <c r="F23" i="4"/>
  <c r="F38" i="4" s="1"/>
  <c r="G20" i="4"/>
  <c r="C75" i="3"/>
  <c r="C82" i="3" s="1"/>
  <c r="C42" i="1" s="1"/>
  <c r="L89" i="5"/>
  <c r="L29" i="5" s="1"/>
  <c r="D10" i="4"/>
  <c r="E7" i="4"/>
  <c r="J12" i="4"/>
  <c r="J50" i="5"/>
  <c r="J8" i="4"/>
  <c r="F19" i="11"/>
  <c r="E19" i="11"/>
  <c r="E73" i="5"/>
  <c r="F44" i="5"/>
  <c r="H31" i="4"/>
  <c r="K7" i="4"/>
  <c r="K10" i="4" s="1"/>
  <c r="F51" i="5"/>
  <c r="E76" i="5"/>
  <c r="F28" i="4"/>
  <c r="L7" i="4"/>
  <c r="F41" i="5"/>
  <c r="D9" i="10"/>
  <c r="C12" i="1"/>
  <c r="F89" i="5" l="1"/>
  <c r="F29" i="5" s="1"/>
  <c r="E89" i="5"/>
  <c r="E29" i="5" s="1"/>
  <c r="J14" i="3" s="1"/>
  <c r="L33" i="8"/>
  <c r="E41" i="5"/>
  <c r="D16" i="6"/>
  <c r="D18" i="6" s="1"/>
  <c r="D19" i="6" s="1"/>
  <c r="F12" i="4"/>
  <c r="D27" i="6"/>
  <c r="D26" i="6"/>
  <c r="K8" i="4"/>
  <c r="G39" i="4"/>
  <c r="G32" i="4"/>
  <c r="G17" i="5" s="1"/>
  <c r="H90" i="5"/>
  <c r="H22" i="5"/>
  <c r="G90" i="5"/>
  <c r="G22" i="5"/>
  <c r="G44" i="5"/>
  <c r="F73" i="5"/>
  <c r="G21" i="4"/>
  <c r="H20" i="4"/>
  <c r="G23" i="4"/>
  <c r="G38" i="4" s="1"/>
  <c r="G25" i="4"/>
  <c r="G14" i="5" s="1"/>
  <c r="L8" i="4"/>
  <c r="L10" i="4"/>
  <c r="F29" i="4"/>
  <c r="F40" i="4" s="1"/>
  <c r="G28" i="4"/>
  <c r="F30" i="4"/>
  <c r="F16" i="5" s="1"/>
  <c r="I90" i="5"/>
  <c r="I22" i="5"/>
  <c r="K88" i="5"/>
  <c r="K12" i="4"/>
  <c r="F22" i="5"/>
  <c r="H39" i="4"/>
  <c r="I31" i="4"/>
  <c r="H32" i="4"/>
  <c r="H17" i="5" s="1"/>
  <c r="H15" i="4"/>
  <c r="H13" i="4"/>
  <c r="H17" i="4"/>
  <c r="G15" i="4"/>
  <c r="G13" i="4"/>
  <c r="G17" i="4"/>
  <c r="K89" i="5"/>
  <c r="K29" i="5" s="1"/>
  <c r="J89" i="5"/>
  <c r="J29" i="5" s="1"/>
  <c r="J41" i="5"/>
  <c r="D6" i="9"/>
  <c r="F6" i="9" s="1"/>
  <c r="I15" i="4"/>
  <c r="I17" i="4"/>
  <c r="I13" i="4"/>
  <c r="J15" i="4"/>
  <c r="J17" i="4"/>
  <c r="J13" i="4"/>
  <c r="J22" i="5"/>
  <c r="F76" i="5"/>
  <c r="G51" i="5"/>
  <c r="E10" i="4"/>
  <c r="E8" i="4"/>
  <c r="D12" i="4"/>
  <c r="D88" i="5"/>
  <c r="F43" i="4"/>
  <c r="F17" i="4"/>
  <c r="F15" i="4"/>
  <c r="I42" i="5"/>
  <c r="F90" i="5" l="1"/>
  <c r="F91" i="5" s="1"/>
  <c r="F92" i="5" s="1"/>
  <c r="D29" i="6"/>
  <c r="D59" i="2" s="1"/>
  <c r="F20" i="8" s="1"/>
  <c r="F21" i="8" s="1"/>
  <c r="J90" i="5"/>
  <c r="G15" i="5"/>
  <c r="D22" i="5"/>
  <c r="D90" i="5"/>
  <c r="D17" i="4"/>
  <c r="D43" i="4"/>
  <c r="D15" i="4"/>
  <c r="H51" i="5"/>
  <c r="G76" i="5"/>
  <c r="H15" i="5"/>
  <c r="I15" i="5"/>
  <c r="H44" i="5"/>
  <c r="G73" i="5"/>
  <c r="I9" i="5"/>
  <c r="I37" i="4"/>
  <c r="D29" i="9"/>
  <c r="D28" i="9"/>
  <c r="K22" i="5"/>
  <c r="K90" i="5"/>
  <c r="F45" i="4"/>
  <c r="F15" i="5"/>
  <c r="F20" i="5" s="1"/>
  <c r="F78" i="5"/>
  <c r="H28" i="4"/>
  <c r="G29" i="4"/>
  <c r="G30" i="4"/>
  <c r="G16" i="5" s="1"/>
  <c r="L88" i="5"/>
  <c r="L12" i="4"/>
  <c r="E88" i="5"/>
  <c r="E12" i="4"/>
  <c r="G9" i="5"/>
  <c r="G37" i="4"/>
  <c r="G43" i="4"/>
  <c r="G20" i="5"/>
  <c r="H9" i="5"/>
  <c r="H37" i="4"/>
  <c r="J15" i="5"/>
  <c r="H21" i="4"/>
  <c r="I20" i="4"/>
  <c r="H23" i="4"/>
  <c r="H25" i="4"/>
  <c r="H14" i="5" s="1"/>
  <c r="J37" i="4"/>
  <c r="I32" i="4"/>
  <c r="I17" i="5" s="1"/>
  <c r="D9" i="9"/>
  <c r="F9" i="9" s="1"/>
  <c r="J31" i="4"/>
  <c r="I39" i="4"/>
  <c r="J42" i="5"/>
  <c r="K13" i="4"/>
  <c r="K15" i="4"/>
  <c r="K17" i="4"/>
  <c r="F9" i="5"/>
  <c r="F37" i="4"/>
  <c r="F42" i="4" s="1"/>
  <c r="G80" i="5"/>
  <c r="G91" i="5"/>
  <c r="G92" i="5" s="1"/>
  <c r="D18" i="10"/>
  <c r="D20" i="10" s="1"/>
  <c r="E25" i="1"/>
  <c r="I91" i="5"/>
  <c r="I92" i="5" s="1"/>
  <c r="I80" i="5"/>
  <c r="H80" i="5"/>
  <c r="H91" i="5"/>
  <c r="H92" i="5" s="1"/>
  <c r="A19" i="7" l="1"/>
  <c r="A11" i="7"/>
  <c r="A15" i="7"/>
  <c r="F80" i="5"/>
  <c r="A8" i="7"/>
  <c r="A17" i="7"/>
  <c r="I20" i="8"/>
  <c r="I21" i="8" s="1"/>
  <c r="D23" i="11"/>
  <c r="G20" i="8"/>
  <c r="G21" i="8" s="1"/>
  <c r="A7" i="7"/>
  <c r="A16" i="7"/>
  <c r="A18" i="7"/>
  <c r="D15" i="9"/>
  <c r="D16" i="9" s="1"/>
  <c r="A10" i="7"/>
  <c r="H20" i="8"/>
  <c r="H21" i="8" s="1"/>
  <c r="K20" i="8"/>
  <c r="K21" i="8" s="1"/>
  <c r="J20" i="8"/>
  <c r="J21" i="8" s="1"/>
  <c r="L20" i="8"/>
  <c r="L21" i="8" s="1"/>
  <c r="A9" i="7"/>
  <c r="J80" i="5"/>
  <c r="J91" i="5"/>
  <c r="J92" i="5" s="1"/>
  <c r="J25" i="5" s="1"/>
  <c r="F13" i="8"/>
  <c r="F81" i="5"/>
  <c r="H48" i="5"/>
  <c r="H37" i="5"/>
  <c r="I37" i="5"/>
  <c r="I48" i="5"/>
  <c r="K37" i="4"/>
  <c r="G37" i="5"/>
  <c r="G48" i="5"/>
  <c r="F35" i="12"/>
  <c r="F11" i="8"/>
  <c r="F79" i="5"/>
  <c r="G40" i="4"/>
  <c r="G42" i="4" s="1"/>
  <c r="G78" i="5"/>
  <c r="H25" i="5"/>
  <c r="I28" i="4"/>
  <c r="I43" i="4" s="1"/>
  <c r="H29" i="4"/>
  <c r="H40" i="4" s="1"/>
  <c r="H30" i="4"/>
  <c r="H43" i="4"/>
  <c r="C25" i="1"/>
  <c r="D42" i="12"/>
  <c r="C32" i="1"/>
  <c r="G13" i="8"/>
  <c r="G81" i="5"/>
  <c r="G44" i="4"/>
  <c r="F25" i="1"/>
  <c r="I51" i="5"/>
  <c r="H76" i="5"/>
  <c r="K31" i="4"/>
  <c r="K9" i="5" s="1"/>
  <c r="J39" i="4"/>
  <c r="J32" i="4"/>
  <c r="J17" i="5" s="1"/>
  <c r="L22" i="5"/>
  <c r="L90" i="5"/>
  <c r="E27" i="1"/>
  <c r="F8" i="12"/>
  <c r="F23" i="5"/>
  <c r="E28" i="1"/>
  <c r="D37" i="4"/>
  <c r="D42" i="4" s="1"/>
  <c r="D9" i="5"/>
  <c r="D31" i="11"/>
  <c r="D21" i="11"/>
  <c r="D11" i="11"/>
  <c r="H13" i="8"/>
  <c r="H81" i="5"/>
  <c r="J9" i="5"/>
  <c r="K80" i="5"/>
  <c r="K91" i="5"/>
  <c r="K92" i="5" s="1"/>
  <c r="D15" i="5"/>
  <c r="D20" i="5" s="1"/>
  <c r="D45" i="4"/>
  <c r="I13" i="8"/>
  <c r="I81" i="5"/>
  <c r="F7" i="5"/>
  <c r="F48" i="4"/>
  <c r="F28" i="1"/>
  <c r="G8" i="12"/>
  <c r="G23" i="5"/>
  <c r="F27" i="1"/>
  <c r="F37" i="5"/>
  <c r="F48" i="5"/>
  <c r="I44" i="5"/>
  <c r="H73" i="5"/>
  <c r="K15" i="5"/>
  <c r="K42" i="5"/>
  <c r="E43" i="4"/>
  <c r="E17" i="4"/>
  <c r="E13" i="4"/>
  <c r="E15" i="4"/>
  <c r="F13" i="4"/>
  <c r="E22" i="5"/>
  <c r="E90" i="5"/>
  <c r="L13" i="4"/>
  <c r="L15" i="4"/>
  <c r="L17" i="4"/>
  <c r="E78" i="5"/>
  <c r="I25" i="5"/>
  <c r="H38" i="4"/>
  <c r="J20" i="4"/>
  <c r="I23" i="4"/>
  <c r="I25" i="4"/>
  <c r="I21" i="4"/>
  <c r="G45" i="4"/>
  <c r="G25" i="5"/>
  <c r="F25" i="5"/>
  <c r="I44" i="4" l="1"/>
  <c r="H42" i="4"/>
  <c r="H48" i="4" s="1"/>
  <c r="H78" i="5"/>
  <c r="J81" i="5"/>
  <c r="J13" i="8"/>
  <c r="G7" i="5"/>
  <c r="G48" i="4"/>
  <c r="K37" i="5"/>
  <c r="K48" i="5"/>
  <c r="D47" i="4"/>
  <c r="C36" i="1" s="1"/>
  <c r="D7" i="5"/>
  <c r="D48" i="4"/>
  <c r="F9" i="12"/>
  <c r="G9" i="12"/>
  <c r="G35" i="12"/>
  <c r="G79" i="5"/>
  <c r="G11" i="8"/>
  <c r="L15" i="5"/>
  <c r="L80" i="5"/>
  <c r="L91" i="5"/>
  <c r="L92" i="5" s="1"/>
  <c r="L37" i="4"/>
  <c r="G74" i="5"/>
  <c r="G32" i="12"/>
  <c r="E9" i="5"/>
  <c r="E37" i="4"/>
  <c r="E42" i="4" s="1"/>
  <c r="E31" i="11"/>
  <c r="E11" i="11"/>
  <c r="E21" i="11"/>
  <c r="E45" i="4"/>
  <c r="E15" i="5"/>
  <c r="E20" i="5" s="1"/>
  <c r="K13" i="8"/>
  <c r="K81" i="5"/>
  <c r="E44" i="4"/>
  <c r="D25" i="1"/>
  <c r="F44" i="4"/>
  <c r="I70" i="5"/>
  <c r="I31" i="12"/>
  <c r="L42" i="5"/>
  <c r="D7" i="9"/>
  <c r="F7" i="9" s="1"/>
  <c r="I14" i="5"/>
  <c r="H70" i="5"/>
  <c r="H31" i="12"/>
  <c r="I38" i="4"/>
  <c r="H32" i="12"/>
  <c r="H74" i="5"/>
  <c r="J25" i="4"/>
  <c r="J23" i="4"/>
  <c r="K20" i="4"/>
  <c r="J21" i="4"/>
  <c r="H44" i="4"/>
  <c r="G25" i="1"/>
  <c r="F32" i="12"/>
  <c r="J28" i="4"/>
  <c r="D8" i="9"/>
  <c r="F8" i="9" s="1"/>
  <c r="I30" i="4"/>
  <c r="I16" i="5" s="1"/>
  <c r="I29" i="4"/>
  <c r="I40" i="4" s="1"/>
  <c r="F31" i="12"/>
  <c r="E35" i="12"/>
  <c r="E93" i="5"/>
  <c r="E40" i="5" s="1"/>
  <c r="E79" i="5"/>
  <c r="F49" i="5"/>
  <c r="F52" i="5" s="1"/>
  <c r="E26" i="1"/>
  <c r="F10" i="5"/>
  <c r="F39" i="5"/>
  <c r="F38" i="5"/>
  <c r="E80" i="5"/>
  <c r="E81" i="5" s="1"/>
  <c r="E91" i="5"/>
  <c r="E92" i="5" s="1"/>
  <c r="L31" i="4"/>
  <c r="L9" i="5" s="1"/>
  <c r="K39" i="4"/>
  <c r="K32" i="4"/>
  <c r="K17" i="5" s="1"/>
  <c r="G70" i="5"/>
  <c r="G31" i="12"/>
  <c r="J51" i="5"/>
  <c r="I76" i="5"/>
  <c r="C28" i="1"/>
  <c r="D23" i="5"/>
  <c r="D8" i="12"/>
  <c r="C27" i="1"/>
  <c r="D40" i="12"/>
  <c r="D27" i="12"/>
  <c r="K25" i="5"/>
  <c r="I32" i="12"/>
  <c r="I74" i="5"/>
  <c r="J37" i="5"/>
  <c r="J48" i="5"/>
  <c r="H35" i="12"/>
  <c r="H79" i="5"/>
  <c r="H11" i="8"/>
  <c r="H16" i="5"/>
  <c r="H20" i="5" s="1"/>
  <c r="H45" i="4"/>
  <c r="I73" i="5"/>
  <c r="J44" i="5"/>
  <c r="D32" i="12"/>
  <c r="D31" i="12"/>
  <c r="H7" i="5" l="1"/>
  <c r="H8" i="5" s="1"/>
  <c r="I78" i="5"/>
  <c r="I11" i="8" s="1"/>
  <c r="I42" i="4"/>
  <c r="I20" i="5"/>
  <c r="L48" i="5"/>
  <c r="L37" i="5"/>
  <c r="G27" i="1"/>
  <c r="G28" i="1"/>
  <c r="H23" i="5"/>
  <c r="H8" i="12"/>
  <c r="D30" i="9"/>
  <c r="F11" i="9"/>
  <c r="K28" i="4"/>
  <c r="K43" i="4" s="1"/>
  <c r="K44" i="4" s="1"/>
  <c r="J30" i="4"/>
  <c r="J16" i="5" s="1"/>
  <c r="J29" i="4"/>
  <c r="J40" i="4" s="1"/>
  <c r="L25" i="5"/>
  <c r="L13" i="8"/>
  <c r="L81" i="5"/>
  <c r="L39" i="4"/>
  <c r="L32" i="4"/>
  <c r="L17" i="5" s="1"/>
  <c r="J32" i="12"/>
  <c r="J74" i="5"/>
  <c r="E24" i="5"/>
  <c r="E25" i="5"/>
  <c r="J31" i="12"/>
  <c r="J70" i="5"/>
  <c r="F33" i="12"/>
  <c r="J43" i="4"/>
  <c r="J44" i="4" s="1"/>
  <c r="F7" i="12"/>
  <c r="F11" i="5"/>
  <c r="K21" i="4"/>
  <c r="K23" i="4"/>
  <c r="L20" i="4"/>
  <c r="K25" i="4"/>
  <c r="J14" i="5"/>
  <c r="D27" i="1"/>
  <c r="E96" i="5"/>
  <c r="E28" i="5" s="1"/>
  <c r="J9" i="3" s="1"/>
  <c r="D28" i="1"/>
  <c r="E8" i="12"/>
  <c r="E23" i="5"/>
  <c r="D33" i="12"/>
  <c r="C26" i="1"/>
  <c r="D10" i="5"/>
  <c r="D41" i="12"/>
  <c r="D34" i="12"/>
  <c r="K31" i="12"/>
  <c r="K70" i="5"/>
  <c r="F31" i="11"/>
  <c r="F11" i="11"/>
  <c r="F21" i="11"/>
  <c r="J38" i="4"/>
  <c r="F93" i="5"/>
  <c r="F24" i="5" s="1"/>
  <c r="K32" i="12"/>
  <c r="K74" i="5"/>
  <c r="D9" i="12"/>
  <c r="D26" i="5"/>
  <c r="I48" i="4"/>
  <c r="I7" i="5"/>
  <c r="E48" i="4"/>
  <c r="E7" i="5"/>
  <c r="F34" i="12"/>
  <c r="G105" i="3" s="1"/>
  <c r="E48" i="5"/>
  <c r="E37" i="5"/>
  <c r="J73" i="5"/>
  <c r="K44" i="5"/>
  <c r="K51" i="5"/>
  <c r="J76" i="5"/>
  <c r="I45" i="4"/>
  <c r="G38" i="5"/>
  <c r="G8" i="5"/>
  <c r="G10" i="5"/>
  <c r="G39" i="5"/>
  <c r="G72" i="5" s="1"/>
  <c r="G49" i="5"/>
  <c r="F26" i="1"/>
  <c r="I35" i="12" l="1"/>
  <c r="F40" i="5"/>
  <c r="J45" i="4"/>
  <c r="I79" i="5"/>
  <c r="J20" i="5"/>
  <c r="J23" i="5" s="1"/>
  <c r="G26" i="1"/>
  <c r="H49" i="5"/>
  <c r="H39" i="5"/>
  <c r="H10" i="5"/>
  <c r="H7" i="12" s="1"/>
  <c r="H38" i="5"/>
  <c r="H33" i="12" s="1"/>
  <c r="J42" i="4"/>
  <c r="J78" i="5"/>
  <c r="J79" i="5" s="1"/>
  <c r="H72" i="5"/>
  <c r="G11" i="11"/>
  <c r="G31" i="11"/>
  <c r="G21" i="11"/>
  <c r="I9" i="10"/>
  <c r="E9" i="12"/>
  <c r="E26" i="5"/>
  <c r="E68" i="5"/>
  <c r="J15" i="3"/>
  <c r="H9" i="12"/>
  <c r="L51" i="5"/>
  <c r="L76" i="5" s="1"/>
  <c r="K76" i="5"/>
  <c r="G93" i="5"/>
  <c r="G24" i="5" s="1"/>
  <c r="K73" i="5"/>
  <c r="L44" i="5"/>
  <c r="L73" i="5" s="1"/>
  <c r="F10" i="8"/>
  <c r="F68" i="5"/>
  <c r="F26" i="5"/>
  <c r="L31" i="12"/>
  <c r="L70" i="5"/>
  <c r="H21" i="11"/>
  <c r="H31" i="11"/>
  <c r="H11" i="11"/>
  <c r="L32" i="12"/>
  <c r="L74" i="5"/>
  <c r="I8" i="12"/>
  <c r="I23" i="5"/>
  <c r="H75" i="5"/>
  <c r="H52" i="5"/>
  <c r="J48" i="4"/>
  <c r="J7" i="5"/>
  <c r="K14" i="5"/>
  <c r="L23" i="4"/>
  <c r="L21" i="4"/>
  <c r="L25" i="4"/>
  <c r="K38" i="4"/>
  <c r="E70" i="5"/>
  <c r="E31" i="12"/>
  <c r="E34" i="12"/>
  <c r="F70" i="5"/>
  <c r="E32" i="12"/>
  <c r="E74" i="5"/>
  <c r="F74" i="5"/>
  <c r="L28" i="4"/>
  <c r="K30" i="4"/>
  <c r="K16" i="5" s="1"/>
  <c r="K29" i="4"/>
  <c r="K40" i="4" s="1"/>
  <c r="G75" i="5"/>
  <c r="G52" i="5"/>
  <c r="E49" i="5"/>
  <c r="E52" i="5" s="1"/>
  <c r="E39" i="5"/>
  <c r="E8" i="5"/>
  <c r="J9" i="10" s="1"/>
  <c r="D26" i="1"/>
  <c r="J7" i="3"/>
  <c r="E10" i="5"/>
  <c r="G9" i="10"/>
  <c r="E38" i="5"/>
  <c r="J11" i="3"/>
  <c r="F8" i="5"/>
  <c r="D17" i="9"/>
  <c r="G10" i="9"/>
  <c r="G6" i="9"/>
  <c r="D32" i="9" s="1"/>
  <c r="G9" i="9"/>
  <c r="G7" i="12"/>
  <c r="G11" i="5"/>
  <c r="I8" i="5"/>
  <c r="I38" i="5"/>
  <c r="I10" i="5"/>
  <c r="I39" i="5"/>
  <c r="I72" i="5" s="1"/>
  <c r="I49" i="5"/>
  <c r="D11" i="5"/>
  <c r="D7" i="12"/>
  <c r="G7" i="9"/>
  <c r="D27" i="5"/>
  <c r="D28" i="12"/>
  <c r="D10" i="12"/>
  <c r="C29" i="1"/>
  <c r="D14" i="12"/>
  <c r="D30" i="5"/>
  <c r="G8" i="9"/>
  <c r="G33" i="12"/>
  <c r="G71" i="5"/>
  <c r="G34" i="12"/>
  <c r="J11" i="8" l="1"/>
  <c r="J35" i="12"/>
  <c r="H34" i="12"/>
  <c r="H71" i="5"/>
  <c r="J8" i="12"/>
  <c r="H11" i="5"/>
  <c r="G40" i="5"/>
  <c r="H93" i="5" s="1"/>
  <c r="H24" i="5" s="1"/>
  <c r="I7" i="12"/>
  <c r="I11" i="5"/>
  <c r="K45" i="4"/>
  <c r="K20" i="5"/>
  <c r="G12" i="8"/>
  <c r="I9" i="12"/>
  <c r="D31" i="5"/>
  <c r="D34" i="5" s="1"/>
  <c r="L38" i="4"/>
  <c r="I71" i="5"/>
  <c r="I33" i="12"/>
  <c r="I34" i="12"/>
  <c r="F28" i="12"/>
  <c r="F10" i="12"/>
  <c r="E29" i="1"/>
  <c r="F27" i="5"/>
  <c r="F7" i="8"/>
  <c r="F9" i="8" s="1"/>
  <c r="L30" i="4"/>
  <c r="L16" i="5" s="1"/>
  <c r="L29" i="4"/>
  <c r="L40" i="4" s="1"/>
  <c r="J38" i="5"/>
  <c r="J49" i="5"/>
  <c r="J10" i="5"/>
  <c r="J39" i="5"/>
  <c r="J72" i="5" s="1"/>
  <c r="J8" i="5"/>
  <c r="G10" i="8"/>
  <c r="G68" i="5"/>
  <c r="G26" i="5"/>
  <c r="J9" i="12"/>
  <c r="E33" i="12"/>
  <c r="E71" i="5"/>
  <c r="F71" i="5"/>
  <c r="F12" i="8" s="1"/>
  <c r="K78" i="5"/>
  <c r="E11" i="5"/>
  <c r="E7" i="12"/>
  <c r="K42" i="4"/>
  <c r="J8" i="3"/>
  <c r="J10" i="3"/>
  <c r="J12" i="3" s="1"/>
  <c r="E28" i="12"/>
  <c r="E10" i="12"/>
  <c r="D29" i="1"/>
  <c r="E27" i="5"/>
  <c r="E30" i="5"/>
  <c r="H12" i="8"/>
  <c r="E72" i="5"/>
  <c r="F72" i="5"/>
  <c r="L43" i="4"/>
  <c r="L44" i="4" s="1"/>
  <c r="L14" i="5"/>
  <c r="I75" i="5"/>
  <c r="I52" i="5"/>
  <c r="E75" i="5"/>
  <c r="F75" i="5"/>
  <c r="J13" i="3" l="1"/>
  <c r="K48" i="4"/>
  <c r="K7" i="5"/>
  <c r="F14" i="8"/>
  <c r="K8" i="12"/>
  <c r="K23" i="5"/>
  <c r="I11" i="11"/>
  <c r="I21" i="11"/>
  <c r="I31" i="11"/>
  <c r="K79" i="5"/>
  <c r="K35" i="12"/>
  <c r="K11" i="8"/>
  <c r="L45" i="4"/>
  <c r="L20" i="5"/>
  <c r="G10" i="12"/>
  <c r="F29" i="1"/>
  <c r="G27" i="5"/>
  <c r="G7" i="8"/>
  <c r="G9" i="8" s="1"/>
  <c r="G14" i="8" s="1"/>
  <c r="G28" i="12"/>
  <c r="I12" i="8"/>
  <c r="L78" i="5"/>
  <c r="L42" i="4"/>
  <c r="E31" i="5"/>
  <c r="J16" i="3"/>
  <c r="J20" i="3" s="1"/>
  <c r="C30" i="1"/>
  <c r="D33" i="5"/>
  <c r="D11" i="12"/>
  <c r="J7" i="12"/>
  <c r="J11" i="5"/>
  <c r="J75" i="5"/>
  <c r="J52" i="5"/>
  <c r="H10" i="8"/>
  <c r="H68" i="5"/>
  <c r="H26" i="5"/>
  <c r="J33" i="12"/>
  <c r="J71" i="5"/>
  <c r="J12" i="8" s="1"/>
  <c r="J34" i="12"/>
  <c r="H40" i="5"/>
  <c r="E32" i="11" l="1"/>
  <c r="G15" i="8"/>
  <c r="E22" i="11"/>
  <c r="G22" i="8"/>
  <c r="E12" i="11"/>
  <c r="I93" i="5"/>
  <c r="I24" i="5" s="1"/>
  <c r="H10" i="12"/>
  <c r="H27" i="5"/>
  <c r="G29" i="1"/>
  <c r="H28" i="12"/>
  <c r="H7" i="8"/>
  <c r="H9" i="8" s="1"/>
  <c r="H14" i="8" s="1"/>
  <c r="L8" i="12"/>
  <c r="L23" i="5"/>
  <c r="J31" i="11"/>
  <c r="J11" i="11"/>
  <c r="J21" i="11"/>
  <c r="C31" i="1"/>
  <c r="D39" i="12"/>
  <c r="E17" i="12"/>
  <c r="E67" i="5"/>
  <c r="E77" i="5" s="1"/>
  <c r="E11" i="12"/>
  <c r="J18" i="3"/>
  <c r="D30" i="1"/>
  <c r="E60" i="5"/>
  <c r="E64" i="5" s="1"/>
  <c r="E33" i="5"/>
  <c r="K9" i="12"/>
  <c r="E34" i="5"/>
  <c r="J17" i="3" s="1"/>
  <c r="L7" i="5"/>
  <c r="L48" i="4"/>
  <c r="D32" i="11"/>
  <c r="D12" i="11"/>
  <c r="D22" i="11"/>
  <c r="F22" i="8"/>
  <c r="F15" i="8"/>
  <c r="L35" i="12"/>
  <c r="L79" i="5"/>
  <c r="L11" i="8"/>
  <c r="K38" i="5"/>
  <c r="K49" i="5"/>
  <c r="K10" i="5"/>
  <c r="K39" i="5"/>
  <c r="K72" i="5" s="1"/>
  <c r="K8" i="5"/>
  <c r="L9" i="12" l="1"/>
  <c r="L10" i="5"/>
  <c r="L38" i="5"/>
  <c r="L39" i="5"/>
  <c r="L72" i="5" s="1"/>
  <c r="L49" i="5"/>
  <c r="L8" i="5"/>
  <c r="D31" i="1"/>
  <c r="E39" i="12"/>
  <c r="J19" i="3"/>
  <c r="E54" i="5"/>
  <c r="I68" i="5"/>
  <c r="I10" i="8"/>
  <c r="I26" i="5"/>
  <c r="K11" i="5"/>
  <c r="K7" i="12"/>
  <c r="I40" i="5"/>
  <c r="H15" i="8"/>
  <c r="F22" i="11"/>
  <c r="H22" i="8"/>
  <c r="F32" i="11"/>
  <c r="F12" i="11"/>
  <c r="K75" i="5"/>
  <c r="K52" i="5"/>
  <c r="K33" i="12"/>
  <c r="K71" i="5"/>
  <c r="K34" i="12"/>
  <c r="E82" i="5"/>
  <c r="E84" i="5" s="1"/>
  <c r="E36" i="5" s="1"/>
  <c r="E85" i="5"/>
  <c r="E44" i="12" s="1"/>
  <c r="K12" i="8" l="1"/>
  <c r="E95" i="5"/>
  <c r="L32" i="8"/>
  <c r="L34" i="8" s="1"/>
  <c r="L47" i="8" s="1"/>
  <c r="L48" i="8" s="1"/>
  <c r="E94" i="5"/>
  <c r="E45" i="5"/>
  <c r="F83" i="5"/>
  <c r="F96" i="5"/>
  <c r="F28" i="5" s="1"/>
  <c r="F30" i="5" s="1"/>
  <c r="C41" i="1"/>
  <c r="I27" i="5"/>
  <c r="I28" i="12"/>
  <c r="I7" i="8"/>
  <c r="I9" i="8" s="1"/>
  <c r="I14" i="8" s="1"/>
  <c r="I10" i="12"/>
  <c r="E15" i="12"/>
  <c r="F59" i="5"/>
  <c r="E43" i="12"/>
  <c r="E26" i="12"/>
  <c r="E13" i="12"/>
  <c r="E14" i="12"/>
  <c r="E55" i="5"/>
  <c r="E12" i="12"/>
  <c r="D39" i="1"/>
  <c r="L75" i="5"/>
  <c r="L52" i="5"/>
  <c r="L71" i="5"/>
  <c r="L33" i="12"/>
  <c r="L34" i="12"/>
  <c r="L11" i="5"/>
  <c r="L7" i="12"/>
  <c r="J93" i="5"/>
  <c r="J24" i="5" s="1"/>
  <c r="L12" i="8" l="1"/>
  <c r="G22" i="11"/>
  <c r="G12" i="11"/>
  <c r="G32" i="11"/>
  <c r="I22" i="8"/>
  <c r="I15" i="8"/>
  <c r="F31" i="5"/>
  <c r="J68" i="5"/>
  <c r="J10" i="8"/>
  <c r="J26" i="5"/>
  <c r="J40" i="5"/>
  <c r="E56" i="5"/>
  <c r="D35" i="1" s="1"/>
  <c r="E19" i="12"/>
  <c r="E18" i="12"/>
  <c r="E25" i="12"/>
  <c r="E9" i="10"/>
  <c r="F9" i="10" s="1"/>
  <c r="C14" i="1"/>
  <c r="D21" i="10"/>
  <c r="D22" i="10" s="1"/>
  <c r="C20" i="1" s="1"/>
  <c r="E20" i="1" s="1"/>
  <c r="E24" i="12"/>
  <c r="E40" i="12"/>
  <c r="E27" i="12"/>
  <c r="E41" i="12"/>
  <c r="D32" i="1"/>
  <c r="E42" i="12"/>
  <c r="D19" i="9"/>
  <c r="D20" i="9" s="1"/>
  <c r="D24" i="9" s="1"/>
  <c r="E20" i="12" l="1"/>
  <c r="E21" i="12" s="1"/>
  <c r="D38" i="1" s="1"/>
  <c r="F60" i="5"/>
  <c r="F64" i="5" s="1"/>
  <c r="F67" i="5"/>
  <c r="F77" i="5" s="1"/>
  <c r="F17" i="12"/>
  <c r="E30" i="1"/>
  <c r="F11" i="12"/>
  <c r="F33" i="5"/>
  <c r="K93" i="5"/>
  <c r="K24" i="5" s="1"/>
  <c r="J7" i="8"/>
  <c r="J9" i="8" s="1"/>
  <c r="J14" i="8" s="1"/>
  <c r="J27" i="5"/>
  <c r="J28" i="12"/>
  <c r="J10" i="12"/>
  <c r="D13" i="10"/>
  <c r="D15" i="10" s="1"/>
  <c r="H9" i="10"/>
  <c r="H10" i="10" s="1"/>
  <c r="F34" i="5"/>
  <c r="D25" i="9"/>
  <c r="C19" i="1"/>
  <c r="E19" i="1" s="1"/>
  <c r="H22" i="11" l="1"/>
  <c r="H12" i="11"/>
  <c r="H32" i="11"/>
  <c r="J22" i="8"/>
  <c r="J15" i="8"/>
  <c r="K68" i="5"/>
  <c r="K10" i="8"/>
  <c r="K26" i="5"/>
  <c r="K40" i="5"/>
  <c r="E31" i="1"/>
  <c r="F39" i="12"/>
  <c r="F82" i="5"/>
  <c r="F84" i="5" s="1"/>
  <c r="F36" i="5" s="1"/>
  <c r="F85" i="5"/>
  <c r="F44" i="12" s="1"/>
  <c r="F54" i="5"/>
  <c r="E39" i="1" s="1"/>
  <c r="G59" i="5" l="1"/>
  <c r="F26" i="12"/>
  <c r="F43" i="12"/>
  <c r="F15" i="12"/>
  <c r="F55" i="5"/>
  <c r="F13" i="12"/>
  <c r="F14" i="12"/>
  <c r="F12" i="12"/>
  <c r="F95" i="5"/>
  <c r="F45" i="5"/>
  <c r="F94" i="5"/>
  <c r="G96" i="5"/>
  <c r="G28" i="5" s="1"/>
  <c r="G30" i="5" s="1"/>
  <c r="G83" i="5"/>
  <c r="L93" i="5"/>
  <c r="L24" i="5" s="1"/>
  <c r="K7" i="8"/>
  <c r="K9" i="8" s="1"/>
  <c r="K14" i="8" s="1"/>
  <c r="K27" i="5"/>
  <c r="K28" i="12"/>
  <c r="K10" i="12"/>
  <c r="I32" i="11" l="1"/>
  <c r="K22" i="8"/>
  <c r="I12" i="11"/>
  <c r="K15" i="8"/>
  <c r="I22" i="11"/>
  <c r="L68" i="5"/>
  <c r="L10" i="8"/>
  <c r="L26" i="5"/>
  <c r="L40" i="5"/>
  <c r="G31" i="5"/>
  <c r="F25" i="12"/>
  <c r="F42" i="12"/>
  <c r="E32" i="1"/>
  <c r="F24" i="12"/>
  <c r="F41" i="12"/>
  <c r="F40" i="12"/>
  <c r="F27" i="12"/>
  <c r="F19" i="12"/>
  <c r="F56" i="5"/>
  <c r="E35" i="1" s="1"/>
  <c r="F18" i="12"/>
  <c r="F20" i="12" l="1"/>
  <c r="F21" i="12" s="1"/>
  <c r="E38" i="1" s="1"/>
  <c r="G67" i="5"/>
  <c r="G77" i="5" s="1"/>
  <c r="G60" i="5"/>
  <c r="G64" i="5" s="1"/>
  <c r="F30" i="1"/>
  <c r="G11" i="12"/>
  <c r="G17" i="12"/>
  <c r="G33" i="5"/>
  <c r="G34" i="5"/>
  <c r="L27" i="5"/>
  <c r="L28" i="12"/>
  <c r="L7" i="8"/>
  <c r="L9" i="8" s="1"/>
  <c r="L14" i="8" s="1"/>
  <c r="L10" i="12"/>
  <c r="L15" i="8" l="1"/>
  <c r="L27" i="8"/>
  <c r="L28" i="8" s="1"/>
  <c r="J32" i="11"/>
  <c r="K33" i="11" s="1"/>
  <c r="L22" i="8"/>
  <c r="L25" i="8" s="1"/>
  <c r="L49" i="8" s="1"/>
  <c r="L50" i="8" s="1"/>
  <c r="L51" i="8" s="1"/>
  <c r="L52" i="8" s="1"/>
  <c r="J12" i="11"/>
  <c r="K13" i="11" s="1"/>
  <c r="J22" i="11"/>
  <c r="K23" i="11" s="1"/>
  <c r="C8" i="7"/>
  <c r="C16" i="7" s="1"/>
  <c r="B10" i="7"/>
  <c r="B18" i="7" s="1"/>
  <c r="D8" i="7"/>
  <c r="D16" i="7" s="1"/>
  <c r="C7" i="7"/>
  <c r="C15" i="7" s="1"/>
  <c r="E8" i="7"/>
  <c r="E16" i="7" s="1"/>
  <c r="B9" i="7"/>
  <c r="B17" i="7" s="1"/>
  <c r="E11" i="7"/>
  <c r="E19" i="7" s="1"/>
  <c r="C9" i="7"/>
  <c r="C17" i="7" s="1"/>
  <c r="C11" i="7"/>
  <c r="C19" i="7" s="1"/>
  <c r="F9" i="7"/>
  <c r="F17" i="7" s="1"/>
  <c r="D11" i="7"/>
  <c r="D19" i="7" s="1"/>
  <c r="F11" i="7"/>
  <c r="F19" i="7" s="1"/>
  <c r="B11" i="7"/>
  <c r="B19" i="7" s="1"/>
  <c r="E9" i="7"/>
  <c r="E17" i="7" s="1"/>
  <c r="B7" i="7"/>
  <c r="B15" i="7" s="1"/>
  <c r="F7" i="7"/>
  <c r="F15" i="7" s="1"/>
  <c r="F10" i="7"/>
  <c r="F18" i="7" s="1"/>
  <c r="E7" i="7"/>
  <c r="E15" i="7" s="1"/>
  <c r="F8" i="7"/>
  <c r="F16" i="7" s="1"/>
  <c r="B8" i="7"/>
  <c r="B16" i="7" s="1"/>
  <c r="D7" i="7"/>
  <c r="D15" i="7" s="1"/>
  <c r="E10" i="7"/>
  <c r="E18" i="7" s="1"/>
  <c r="D10" i="7"/>
  <c r="D18" i="7" s="1"/>
  <c r="C10" i="7"/>
  <c r="C18" i="7" s="1"/>
  <c r="D9" i="7"/>
  <c r="D17" i="7" s="1"/>
  <c r="F31" i="1"/>
  <c r="G39" i="12"/>
  <c r="G54" i="5"/>
  <c r="F39" i="1" s="1"/>
  <c r="G85" i="5"/>
  <c r="G44" i="12" s="1"/>
  <c r="G82" i="5"/>
  <c r="G84" i="5" s="1"/>
  <c r="G36" i="5" s="1"/>
  <c r="D39" i="11" l="1"/>
  <c r="K24" i="11"/>
  <c r="G95" i="5"/>
  <c r="G45" i="5"/>
  <c r="H83" i="5"/>
  <c r="H96" i="5"/>
  <c r="H28" i="5" s="1"/>
  <c r="H30" i="5" s="1"/>
  <c r="G94" i="5"/>
  <c r="D40" i="11"/>
  <c r="K34" i="11"/>
  <c r="H59" i="5"/>
  <c r="G15" i="12"/>
  <c r="G26" i="12"/>
  <c r="G43" i="12"/>
  <c r="G55" i="5"/>
  <c r="G13" i="12"/>
  <c r="G14" i="12"/>
  <c r="G12" i="12"/>
  <c r="K14" i="11"/>
  <c r="D38" i="11"/>
  <c r="L29" i="8"/>
  <c r="L36" i="8" s="1"/>
  <c r="L40" i="8" s="1"/>
  <c r="H31" i="5" l="1"/>
  <c r="L30" i="8"/>
  <c r="G38" i="11"/>
  <c r="E38" i="11"/>
  <c r="G25" i="12"/>
  <c r="G42" i="12"/>
  <c r="F32" i="1"/>
  <c r="G24" i="12"/>
  <c r="G41" i="12"/>
  <c r="G40" i="12"/>
  <c r="G27" i="12"/>
  <c r="C18" i="1"/>
  <c r="E18" i="1" s="1"/>
  <c r="E21" i="1" s="1"/>
  <c r="C7" i="1" s="1"/>
  <c r="L42" i="8"/>
  <c r="G40" i="11"/>
  <c r="E40" i="11"/>
  <c r="G19" i="12"/>
  <c r="G56" i="5"/>
  <c r="F35" i="1" s="1"/>
  <c r="G18" i="12"/>
  <c r="E39" i="11"/>
  <c r="G39" i="11"/>
  <c r="G20" i="12" l="1"/>
  <c r="G21" i="12" s="1"/>
  <c r="F38" i="1" s="1"/>
  <c r="D10" i="2"/>
  <c r="C8" i="1"/>
  <c r="C10" i="1" s="1"/>
  <c r="G41" i="11"/>
  <c r="E22" i="1" s="1"/>
  <c r="H60" i="5"/>
  <c r="H64" i="5" s="1"/>
  <c r="H67" i="5"/>
  <c r="H77" i="5" s="1"/>
  <c r="H33" i="5"/>
  <c r="H11" i="12"/>
  <c r="G30" i="1"/>
  <c r="H17" i="12"/>
  <c r="H34" i="5"/>
  <c r="H39" i="12" l="1"/>
  <c r="G31" i="1"/>
  <c r="H82" i="5"/>
  <c r="H84" i="5" s="1"/>
  <c r="H36" i="5" s="1"/>
  <c r="H85" i="5"/>
  <c r="H44" i="12" s="1"/>
  <c r="H54" i="5"/>
  <c r="G39" i="1" s="1"/>
  <c r="H95" i="5" l="1"/>
  <c r="H45" i="5"/>
  <c r="I83" i="5"/>
  <c r="I96" i="5"/>
  <c r="I28" i="5" s="1"/>
  <c r="I30" i="5" s="1"/>
  <c r="H94" i="5"/>
  <c r="I59" i="5"/>
  <c r="H26" i="12"/>
  <c r="H43" i="12"/>
  <c r="H15" i="12"/>
  <c r="H55" i="5"/>
  <c r="H13" i="12"/>
  <c r="H14" i="12"/>
  <c r="H12" i="12"/>
  <c r="I31" i="5" l="1"/>
  <c r="H19" i="12"/>
  <c r="H56" i="5"/>
  <c r="G35" i="1" s="1"/>
  <c r="H18" i="12"/>
  <c r="H25" i="12"/>
  <c r="H42" i="12"/>
  <c r="G32" i="1"/>
  <c r="H41" i="12"/>
  <c r="H24" i="12"/>
  <c r="H27" i="12"/>
  <c r="H40" i="12"/>
  <c r="H20" i="12" l="1"/>
  <c r="H21" i="12" s="1"/>
  <c r="G38" i="1" s="1"/>
  <c r="I33" i="5"/>
  <c r="I39" i="12" s="1"/>
  <c r="I11" i="12"/>
  <c r="I60" i="5"/>
  <c r="I64" i="5" s="1"/>
  <c r="I17" i="12"/>
  <c r="I67" i="5"/>
  <c r="I77" i="5" s="1"/>
  <c r="I34" i="5"/>
  <c r="I82" i="5" l="1"/>
  <c r="I84" i="5" s="1"/>
  <c r="I36" i="5" s="1"/>
  <c r="I85" i="5"/>
  <c r="I44" i="12" s="1"/>
  <c r="I54" i="5"/>
  <c r="H39" i="1" s="1"/>
  <c r="J59" i="5" l="1"/>
  <c r="I43" i="12"/>
  <c r="I26" i="12"/>
  <c r="I15" i="12"/>
  <c r="I55" i="5"/>
  <c r="I13" i="12"/>
  <c r="I14" i="12"/>
  <c r="I12" i="12"/>
  <c r="I94" i="5"/>
  <c r="J83" i="5"/>
  <c r="I45" i="5"/>
  <c r="J96" i="5"/>
  <c r="J28" i="5" s="1"/>
  <c r="J30" i="5" s="1"/>
  <c r="I95" i="5"/>
  <c r="I19" i="12" l="1"/>
  <c r="I56" i="5"/>
  <c r="H35" i="1" s="1"/>
  <c r="I18" i="12"/>
  <c r="J31" i="5"/>
  <c r="I25" i="12"/>
  <c r="I42" i="12"/>
  <c r="I24" i="12"/>
  <c r="I41" i="12"/>
  <c r="I27" i="12"/>
  <c r="I40" i="12"/>
  <c r="I20" i="12" l="1"/>
  <c r="I21" i="12" s="1"/>
  <c r="H38" i="1" s="1"/>
  <c r="J17" i="12"/>
  <c r="J67" i="5"/>
  <c r="J77" i="5" s="1"/>
  <c r="J11" i="12"/>
  <c r="J60" i="5"/>
  <c r="J64" i="5" s="1"/>
  <c r="J33" i="5"/>
  <c r="J39" i="12" s="1"/>
  <c r="J34" i="5"/>
  <c r="J54" i="5" l="1"/>
  <c r="I39" i="1"/>
  <c r="J82" i="5"/>
  <c r="J84" i="5" s="1"/>
  <c r="J36" i="5" s="1"/>
  <c r="J85" i="5"/>
  <c r="J44" i="12" s="1"/>
  <c r="K59" i="5" l="1"/>
  <c r="J43" i="12"/>
  <c r="J26" i="12"/>
  <c r="J15" i="12"/>
  <c r="J55" i="5"/>
  <c r="J14" i="12"/>
  <c r="J13" i="12"/>
  <c r="J12" i="12"/>
  <c r="J94" i="5"/>
  <c r="K96" i="5"/>
  <c r="K28" i="5" s="1"/>
  <c r="K30" i="5" s="1"/>
  <c r="J95" i="5"/>
  <c r="J45" i="5"/>
  <c r="K83" i="5"/>
  <c r="J56" i="5" l="1"/>
  <c r="I35" i="1" s="1"/>
  <c r="J19" i="12"/>
  <c r="J18" i="12"/>
  <c r="K31" i="5"/>
  <c r="J25" i="12"/>
  <c r="J27" i="12"/>
  <c r="J24" i="12"/>
  <c r="J42" i="12"/>
  <c r="J41" i="12"/>
  <c r="J40" i="12"/>
  <c r="J20" i="12" l="1"/>
  <c r="J21" i="12" s="1"/>
  <c r="I38" i="1" s="1"/>
  <c r="K17" i="12"/>
  <c r="K11" i="12"/>
  <c r="K60" i="5"/>
  <c r="K64" i="5" s="1"/>
  <c r="K67" i="5"/>
  <c r="K77" i="5" s="1"/>
  <c r="K33" i="5"/>
  <c r="K39" i="12" s="1"/>
  <c r="K34" i="5"/>
  <c r="K54" i="5" l="1"/>
  <c r="J39" i="1"/>
  <c r="K82" i="5"/>
  <c r="K84" i="5" s="1"/>
  <c r="K36" i="5" s="1"/>
  <c r="K85" i="5"/>
  <c r="K44" i="12" s="1"/>
  <c r="K94" i="5" l="1"/>
  <c r="L96" i="5"/>
  <c r="L28" i="5" s="1"/>
  <c r="L30" i="5" s="1"/>
  <c r="K95" i="5"/>
  <c r="K45" i="5"/>
  <c r="L83" i="5"/>
  <c r="K43" i="12"/>
  <c r="L59" i="5"/>
  <c r="K26" i="12"/>
  <c r="K15" i="12"/>
  <c r="K55" i="5"/>
  <c r="K14" i="12"/>
  <c r="K13" i="12"/>
  <c r="K12" i="12"/>
  <c r="L31" i="5" l="1"/>
  <c r="K25" i="12"/>
  <c r="K27" i="12"/>
  <c r="K40" i="12"/>
  <c r="K42" i="12"/>
  <c r="K24" i="12"/>
  <c r="K41" i="12"/>
  <c r="K56" i="5"/>
  <c r="J35" i="1" s="1"/>
  <c r="K19" i="12"/>
  <c r="K18" i="12"/>
  <c r="K20" i="12" l="1"/>
  <c r="K21" i="12" s="1"/>
  <c r="J38" i="1" s="1"/>
  <c r="L17" i="12"/>
  <c r="L11" i="12"/>
  <c r="L60" i="5"/>
  <c r="L64" i="5" s="1"/>
  <c r="L67" i="5"/>
  <c r="L77" i="5" s="1"/>
  <c r="L33" i="5"/>
  <c r="L39" i="12" s="1"/>
  <c r="L34" i="5"/>
  <c r="L54" i="5" l="1"/>
  <c r="K39" i="1"/>
  <c r="L85" i="5"/>
  <c r="L44" i="12" s="1"/>
  <c r="L82" i="5"/>
  <c r="L84" i="5" s="1"/>
  <c r="L36" i="5" s="1"/>
  <c r="L43" i="12" l="1"/>
  <c r="L26" i="12"/>
  <c r="L15" i="12"/>
  <c r="L55" i="5"/>
  <c r="L14" i="12"/>
  <c r="L13" i="12"/>
  <c r="L12" i="12"/>
  <c r="L95" i="5"/>
  <c r="L45" i="5"/>
  <c r="L94" i="5"/>
  <c r="L27" i="12" l="1"/>
  <c r="L24" i="12"/>
  <c r="L25" i="12"/>
  <c r="L42" i="12"/>
  <c r="L40" i="12"/>
  <c r="L41" i="12"/>
  <c r="L19" i="12"/>
  <c r="L56" i="5"/>
  <c r="K35" i="1" s="1"/>
  <c r="L18" i="12"/>
  <c r="L20" i="12" s="1"/>
  <c r="L21" i="12" s="1"/>
  <c r="K38" i="1" s="1"/>
</calcChain>
</file>

<file path=xl/sharedStrings.xml><?xml version="1.0" encoding="utf-8"?>
<sst xmlns="http://schemas.openxmlformats.org/spreadsheetml/2006/main" count="886" uniqueCount="523">
  <si>
    <t>ADITYA NAIR RESEARCH</t>
  </si>
  <si>
    <t>ETERNAL LIMITED  (NSE: ETERNAL · BSE: 543320 · formerly Zomato Ltd)</t>
  </si>
  <si>
    <t>RATING</t>
  </si>
  <si>
    <t>BUY</t>
  </si>
  <si>
    <t>Current market price (2-Mar-2026)</t>
  </si>
  <si>
    <t>12-month target price</t>
  </si>
  <si>
    <t>Implied price upside</t>
  </si>
  <si>
    <t>Forward dividend yield (no dividend declared)</t>
  </si>
  <si>
    <t>Implied total return</t>
  </si>
  <si>
    <t>Market capitalisation (₹ cr)</t>
  </si>
  <si>
    <t>Shares outstanding (crore)</t>
  </si>
  <si>
    <t>Net cash after lease liabilities, FY26E (₹ cr)</t>
  </si>
  <si>
    <t>Net cash as % of market capitalisation</t>
  </si>
  <si>
    <t xml:space="preserve"> </t>
  </si>
  <si>
    <t>VALUATION TRIANGULATION</t>
  </si>
  <si>
    <t>Value/share</t>
  </si>
  <si>
    <t>Weight</t>
  </si>
  <si>
    <t>Contribution</t>
  </si>
  <si>
    <t>Discounted cash flow (FCFF, 7-year explicit)</t>
  </si>
  <si>
    <t>Sum-of-the-parts on FY30E segment metrics</t>
  </si>
  <si>
    <t>EV / net order value vs peer set (FY27E)</t>
  </si>
  <si>
    <t>Blended fair value</t>
  </si>
  <si>
    <t>Probability-weighted scenario value</t>
  </si>
  <si>
    <t>KEY FINANCIALS (₹ cr)</t>
  </si>
  <si>
    <t>FY25A</t>
  </si>
  <si>
    <t>FY26E</t>
  </si>
  <si>
    <t>FY27E</t>
  </si>
  <si>
    <t>FY28E</t>
  </si>
  <si>
    <t>FY29E</t>
  </si>
  <si>
    <t>Net order value, B2C (₹ cr)</t>
  </si>
  <si>
    <t>Revenue from operations (₹ cr)</t>
  </si>
  <si>
    <t>Adjusted EBITDA (₹ cr)</t>
  </si>
  <si>
    <t>Adjusted EBITDA margin on NOV</t>
  </si>
  <si>
    <t>EBIT (₹ cr)</t>
  </si>
  <si>
    <t>PAT (₹ cr)</t>
  </si>
  <si>
    <t>EPS (₹)</t>
  </si>
  <si>
    <t>EV / NOV (x)</t>
  </si>
  <si>
    <t>AUDIT CHECKS</t>
  </si>
  <si>
    <t>Balance sheet check, FY25A-FY33E (all must be zero)</t>
  </si>
  <si>
    <t>Segment revenue build vs reported, FY25A (₹ cr)</t>
  </si>
  <si>
    <t>Q3FY26 segment NOV build vs disclosed B2C NOV (₹ cr)</t>
  </si>
  <si>
    <t>DuPont ROE vs direct ROE (must be zero)</t>
  </si>
  <si>
    <t>Equity roll-forward vs balance sheet (must be zero)</t>
  </si>
  <si>
    <t>Scenario probabilities sum to 100%</t>
  </si>
  <si>
    <t>FY26E closing cash vs disclosed 31-Dec-25 balance (₹ cr, informational)</t>
  </si>
  <si>
    <t>Historical balance sheet check, FY21A-FY25A (must be zero)</t>
  </si>
  <si>
    <t>Assumptions &amp; Drivers</t>
  </si>
  <si>
    <t>Driver</t>
  </si>
  <si>
    <t>Units</t>
  </si>
  <si>
    <t>FY30E</t>
  </si>
  <si>
    <t>FY31E</t>
  </si>
  <si>
    <t>FY32E</t>
  </si>
  <si>
    <t>FY33E</t>
  </si>
  <si>
    <t>MARKET DATA  (as at 2 March 2026; values in column C)</t>
  </si>
  <si>
    <t>Current market price (CMP)</t>
  </si>
  <si>
    <t>₹/sh</t>
  </si>
  <si>
    <t>Shares outstanding</t>
  </si>
  <si>
    <t>crore</t>
  </si>
  <si>
    <t>Market capitalisation</t>
  </si>
  <si>
    <t>₹ cr</t>
  </si>
  <si>
    <t>52-week high / low</t>
  </si>
  <si>
    <t>368.40 / 189.60</t>
  </si>
  <si>
    <t>Cash, deposits &amp; treasury investments, 31-Dec-2025</t>
  </si>
  <si>
    <t xml:space="preserve">    Dark stores, closing</t>
  </si>
  <si>
    <t>count</t>
  </si>
  <si>
    <t xml:space="preserve">    Net order value per store per day</t>
  </si>
  <si>
    <t>₹ lakh</t>
  </si>
  <si>
    <t xml:space="preserve">    Revenue as % of NOV</t>
  </si>
  <si>
    <t>%</t>
  </si>
  <si>
    <t xml:space="preserve">    Adjusted EBITDA margin (% of NOV)</t>
  </si>
  <si>
    <t>FOOD DELIVERY (ZOMATO)</t>
  </si>
  <si>
    <t xml:space="preserve">    Net order value</t>
  </si>
  <si>
    <t xml:space="preserve">    NOV growth, YoY</t>
  </si>
  <si>
    <t>GOING-OUT (DISTRICT) AND HYPERPURE</t>
  </si>
  <si>
    <t xml:space="preserve">    Going-out net order value</t>
  </si>
  <si>
    <t xml:space="preserve">    Going-out NOV growth, YoY</t>
  </si>
  <si>
    <t xml:space="preserve">    Going-out revenue as % of NOV</t>
  </si>
  <si>
    <t xml:space="preserve">    Going-out adjusted EBITDA margin (% of NOV)</t>
  </si>
  <si>
    <t xml:space="preserve">    Hyperpure revenue</t>
  </si>
  <si>
    <t xml:space="preserve">    Hyperpure revenue growth, YoY</t>
  </si>
  <si>
    <t xml:space="preserve">    Hyperpure adjusted EBITDA margin (% of revenue)</t>
  </si>
  <si>
    <t xml:space="preserve">    Other segments revenue (Bistro, Nugget)</t>
  </si>
  <si>
    <t xml:space="preserve">    Other segments adjusted EBITDA</t>
  </si>
  <si>
    <t>COST, CAPITAL AND WORKING-CAPITAL DRIVERS</t>
  </si>
  <si>
    <t xml:space="preserve">    Share-based payment expense</t>
  </si>
  <si>
    <t xml:space="preserve">    Lease rent paid, per average dark store</t>
  </si>
  <si>
    <t xml:space="preserve">    Lease rent paid, offices &amp; warehouses</t>
  </si>
  <si>
    <t xml:space="preserve">    Lease liability per closing dark store</t>
  </si>
  <si>
    <t xml:space="preserve">    Lease liability, non-store (offices, warehouses)</t>
  </si>
  <si>
    <t xml:space="preserve">    Lease interest rate</t>
  </si>
  <si>
    <t xml:space="preserve">    Capital expenditure per new dark store</t>
  </si>
  <si>
    <t xml:space="preserve">    Warehousing capex, % of quick commerce NOV</t>
  </si>
  <si>
    <t xml:space="preserve">    Technology &amp; other capex, % of non-QC revenue</t>
  </si>
  <si>
    <t xml:space="preserve">    PP&amp;E depreciation rate on average net block</t>
  </si>
  <si>
    <t xml:space="preserve">    Intangible amortisation</t>
  </si>
  <si>
    <t xml:space="preserve">    Cost of goods sold, % of quick commerce revenue</t>
  </si>
  <si>
    <t xml:space="preserve">    Cost of goods sold, % of Hyperpure revenue</t>
  </si>
  <si>
    <t xml:space="preserve">    Inventory days, on cost of goods sold</t>
  </si>
  <si>
    <t>days</t>
  </si>
  <si>
    <t xml:space="preserve">    Trade payable days, on cost of goods sold</t>
  </si>
  <si>
    <t xml:space="preserve">    Trade receivable days, on revenue</t>
  </si>
  <si>
    <t xml:space="preserve">    Other current assets, % of revenue</t>
  </si>
  <si>
    <t xml:space="preserve">    Other current liabilities, % of revenue</t>
  </si>
  <si>
    <t xml:space="preserve">    Treasury yield on average cash &amp; investments</t>
  </si>
  <si>
    <t xml:space="preserve">    Effective tax rate</t>
  </si>
  <si>
    <t>WACC (base case)</t>
  </si>
  <si>
    <t>Terminal growth rate (INR nominal)</t>
  </si>
  <si>
    <t>Reported financials</t>
  </si>
  <si>
    <t>FY21A</t>
  </si>
  <si>
    <t>FY22A</t>
  </si>
  <si>
    <t>FY23A</t>
  </si>
  <si>
    <t>FY24A</t>
  </si>
  <si>
    <t>Q3FY26A</t>
  </si>
  <si>
    <t>9MFY26A</t>
  </si>
  <si>
    <t>CONSOLIDATED INCOME STATEMENT (₹ cr)</t>
  </si>
  <si>
    <t>Revenue from operations</t>
  </si>
  <si>
    <t xml:space="preserve">  YoY growth</t>
  </si>
  <si>
    <t>Other income (treasury &amp; fair-value)</t>
  </si>
  <si>
    <t>Total income</t>
  </si>
  <si>
    <t>Total operating expenditure</t>
  </si>
  <si>
    <t>EBITDA (operating profit, as reported)</t>
  </si>
  <si>
    <t xml:space="preserve">  EBITDA margin on revenue</t>
  </si>
  <si>
    <t>Finance costs</t>
  </si>
  <si>
    <t>Depreciation &amp; amortisation</t>
  </si>
  <si>
    <t>Tax (expense) / credit</t>
  </si>
  <si>
    <t>Profit after tax</t>
  </si>
  <si>
    <t>₹</t>
  </si>
  <si>
    <t>Arithmetic check: EBITDA + other income − finance − D&amp;A vs reported PBT</t>
  </si>
  <si>
    <t xml:space="preserve">    Purchases of stock-in-trade</t>
  </si>
  <si>
    <t xml:space="preserve">    Cost of materials consumed</t>
  </si>
  <si>
    <t xml:space="preserve">    Changes in inventories</t>
  </si>
  <si>
    <t xml:space="preserve">    Employee benefits expense</t>
  </si>
  <si>
    <t xml:space="preserve">    Advertisement &amp; sales promotion</t>
  </si>
  <si>
    <t xml:space="preserve">    Delivery &amp; related charges</t>
  </si>
  <si>
    <t xml:space="preserve">    Other expenses</t>
  </si>
  <si>
    <t>Total per expense detail</t>
  </si>
  <si>
    <t>Check vs total operating expenditure (row 11)</t>
  </si>
  <si>
    <t>SEGMENT REVENUE FROM EXTERNAL CUSTOMERS (₹ cr)</t>
  </si>
  <si>
    <t xml:space="preserve">    India food ordering &amp; delivery</t>
  </si>
  <si>
    <t xml:space="preserve">    Quick commerce (Blinkit)</t>
  </si>
  <si>
    <t xml:space="preserve">    Hyperpure supplies (B2B)</t>
  </si>
  <si>
    <t xml:space="preserve">    Going-out (District)</t>
  </si>
  <si>
    <t xml:space="preserve">    All other segments (residual)</t>
  </si>
  <si>
    <t>Total segment revenue</t>
  </si>
  <si>
    <t>Cross-check vs reported revenue (must be zero)</t>
  </si>
  <si>
    <t>Consolidated adjusted EBITDA (disclosed ₹364cr)</t>
  </si>
  <si>
    <t>NOV build vs disclosed B2C NOV of ₹25,732cr</t>
  </si>
  <si>
    <t xml:space="preserve">    Blinkit dark stores, period end</t>
  </si>
  <si>
    <t>526</t>
  </si>
  <si>
    <t>2,027</t>
  </si>
  <si>
    <t xml:space="preserve">    Net new dark stores added in period</t>
  </si>
  <si>
    <t>775</t>
  </si>
  <si>
    <t>211</t>
  </si>
  <si>
    <t>726</t>
  </si>
  <si>
    <t xml:space="preserve">    Blinkit NOV</t>
  </si>
  <si>
    <t>22,371</t>
  </si>
  <si>
    <t>13,300</t>
  </si>
  <si>
    <t>34,182</t>
  </si>
  <si>
    <t xml:space="preserve">    Blinkit NOV growth YoY</t>
  </si>
  <si>
    <t>113%</t>
  </si>
  <si>
    <t>121%</t>
  </si>
  <si>
    <t>128%</t>
  </si>
  <si>
    <t xml:space="preserve">    Blinkit NOV per store per day (₹ lakh, derived)</t>
  </si>
  <si>
    <t>6.71</t>
  </si>
  <si>
    <t>7.52</t>
  </si>
  <si>
    <t xml:space="preserve">    Share of Blinkit NOV on own inventory</t>
  </si>
  <si>
    <t>~90%</t>
  </si>
  <si>
    <t xml:space="preserve">    Food delivery NOV growth YoY</t>
  </si>
  <si>
    <t>16.6%</t>
  </si>
  <si>
    <t xml:space="preserve">    Food delivery GOV growth YoY</t>
  </si>
  <si>
    <t>21.3%</t>
  </si>
  <si>
    <t xml:space="preserve">    Food delivery adj. EBITDA margin on NOV</t>
  </si>
  <si>
    <t>5.4%</t>
  </si>
  <si>
    <t xml:space="preserve">    Blinkit adj. EBITDA margin on NOV</t>
  </si>
  <si>
    <t>0.0%</t>
  </si>
  <si>
    <t>48%</t>
  </si>
  <si>
    <t>24% / 22%</t>
  </si>
  <si>
    <t>Line</t>
  </si>
  <si>
    <t>Equity share capital</t>
  </si>
  <si>
    <t>Other equity (reserves &amp; surplus)</t>
  </si>
  <si>
    <t>TOTAL EQUITY</t>
  </si>
  <si>
    <t>Lease liabilities &amp; borrowings</t>
  </si>
  <si>
    <t>Other liabilities (payables, provisions, other)</t>
  </si>
  <si>
    <t>TOTAL LIABILITIES</t>
  </si>
  <si>
    <t>TOTAL EQUITY &amp; LIABILITIES</t>
  </si>
  <si>
    <t>Fixed assets (PP&amp;E, ROU, goodwill, intangibles)</t>
  </si>
  <si>
    <t>Capital work in progress</t>
  </si>
  <si>
    <t>Investments (treasury portfolio)</t>
  </si>
  <si>
    <t>Other assets (cash, inventory, receivables, other)</t>
  </si>
  <si>
    <t>TOTAL ASSETS</t>
  </si>
  <si>
    <t>Balance check (must be zero)</t>
  </si>
  <si>
    <t>Memo: net cash &amp; investments</t>
  </si>
  <si>
    <t>Cash from operating activities</t>
  </si>
  <si>
    <t>Cash from investing activities</t>
  </si>
  <si>
    <t>Cash from financing activities</t>
  </si>
  <si>
    <t>Net change in cash</t>
  </si>
  <si>
    <t>Free cash flow (CFO less capex)</t>
  </si>
  <si>
    <t>Implied capital expenditure</t>
  </si>
  <si>
    <t>Operating cash flow as % of EBITDA</t>
  </si>
  <si>
    <t>Ratio</t>
  </si>
  <si>
    <t>Inventory days</t>
  </si>
  <si>
    <t>Debtor days</t>
  </si>
  <si>
    <t>Days payable</t>
  </si>
  <si>
    <t>Cash conversion cycle</t>
  </si>
  <si>
    <t>Working capital days</t>
  </si>
  <si>
    <t>Capex as % of revenue</t>
  </si>
  <si>
    <t>Return on capital employed</t>
  </si>
  <si>
    <t>Revenue growth, YoY</t>
  </si>
  <si>
    <t>Memo: model's forecast cash conversion cycle, FY27E</t>
  </si>
  <si>
    <t>Bottom-up build: dark-store roll-forward × NOV per store per day for quick commerce; NOV growth × monetisation for the consumer platforms. ₹ in crore.</t>
  </si>
  <si>
    <t>Segment build</t>
  </si>
  <si>
    <t xml:space="preserve">    Dark stores, opening</t>
  </si>
  <si>
    <t xml:space="preserve">    Net new stores added</t>
  </si>
  <si>
    <t xml:space="preserve">    Average stores in operation</t>
  </si>
  <si>
    <t xml:space="preserve">    NOV per store per day</t>
  </si>
  <si>
    <t>Quick commerce net order value</t>
  </si>
  <si>
    <t xml:space="preserve">    YoY growth</t>
  </si>
  <si>
    <t>Quick commerce revenue</t>
  </si>
  <si>
    <t>Quick commerce adjusted EBITDA</t>
  </si>
  <si>
    <t>Food delivery net order value</t>
  </si>
  <si>
    <t>Food delivery revenue</t>
  </si>
  <si>
    <t>Food delivery adjusted EBITDA</t>
  </si>
  <si>
    <t>GOING-OUT (DISTRICT), HYPERPURE AND OTHER SEGMENTS</t>
  </si>
  <si>
    <t>Going-out net order value</t>
  </si>
  <si>
    <t>Going-out revenue</t>
  </si>
  <si>
    <t>Going-out adjusted EBITDA</t>
  </si>
  <si>
    <t>Hyperpure revenue</t>
  </si>
  <si>
    <t>Hyperpure adjusted EBITDA</t>
  </si>
  <si>
    <t>Other segments revenue</t>
  </si>
  <si>
    <t>Other segments adjusted EBITDA</t>
  </si>
  <si>
    <t>CONSOLIDATED ROLL-UP</t>
  </si>
  <si>
    <t>TOTAL REVENUE FROM OPERATIONS</t>
  </si>
  <si>
    <t xml:space="preserve">    B2C NOV growth, YoY</t>
  </si>
  <si>
    <t>CONSOLIDATED ADJUSTED EBITDA</t>
  </si>
  <si>
    <t>Cross-check vs reported FY25A revenue</t>
  </si>
  <si>
    <t>Difference (must be ~0)</t>
  </si>
  <si>
    <t>Memo: adjusted revenue (reported × 1.023)</t>
  </si>
  <si>
    <t>₹ in crore. FY25A is audited Ind AS. FY26E is nine months reported plus an estimated Q4. FY27E-FY33E are driven entirely from the Assumptions tab. Balance check must read zero in every period.</t>
  </si>
  <si>
    <t>Consolidated financials</t>
  </si>
  <si>
    <t>INCOME STATEMENT</t>
  </si>
  <si>
    <t>Cost of goods sold</t>
  </si>
  <si>
    <t>Gross profit</t>
  </si>
  <si>
    <t xml:space="preserve">  Gross margin</t>
  </si>
  <si>
    <t>ADJUSTED EBITDA BRIDGE TO IND AS EBITDA</t>
  </si>
  <si>
    <t xml:space="preserve">    Food delivery</t>
  </si>
  <si>
    <t xml:space="preserve">    Hyperpure</t>
  </si>
  <si>
    <t xml:space="preserve">    Other segments</t>
  </si>
  <si>
    <t>ADJUSTED EBITDA</t>
  </si>
  <si>
    <t xml:space="preserve">    Less: share-based payment expense (added back in adj. EBITDA)</t>
  </si>
  <si>
    <t xml:space="preserve">    Add back: Ind AS 116 lease rent paid (charged in adj. EBITDA)</t>
  </si>
  <si>
    <t>EBITDA (Ind AS reported basis)</t>
  </si>
  <si>
    <t xml:space="preserve">      of which: right-of-use depreciation</t>
  </si>
  <si>
    <t>EBIT</t>
  </si>
  <si>
    <t xml:space="preserve">  EBIT margin on revenue</t>
  </si>
  <si>
    <t>Other income (treasury)</t>
  </si>
  <si>
    <t>Finance costs (lease interest)</t>
  </si>
  <si>
    <t>Profit before tax</t>
  </si>
  <si>
    <t>Weighted average shares outstanding</t>
  </si>
  <si>
    <t>Memo: tax expense</t>
  </si>
  <si>
    <t>Cash, deposits &amp; treasury investments</t>
  </si>
  <si>
    <t>Inventories</t>
  </si>
  <si>
    <t>Trade receivables</t>
  </si>
  <si>
    <t>Other current assets</t>
  </si>
  <si>
    <t>Property, plant &amp; equipment, net</t>
  </si>
  <si>
    <t>Right-of-use assets</t>
  </si>
  <si>
    <t>Goodwill (held flat)</t>
  </si>
  <si>
    <t>Other intangible assets</t>
  </si>
  <si>
    <t>Other non-current assets (held flat)</t>
  </si>
  <si>
    <t>Trade payables</t>
  </si>
  <si>
    <t>Other current liabilities</t>
  </si>
  <si>
    <t>Lease liabilities</t>
  </si>
  <si>
    <t>Other non-current liabilities (held flat)</t>
  </si>
  <si>
    <t>Total equity</t>
  </si>
  <si>
    <t>TOTAL LIABILITIES &amp; EQUITY</t>
  </si>
  <si>
    <t>BALANCE CHECK  (must be zero)</t>
  </si>
  <si>
    <t>EQUITY ROLL-FORWARD</t>
  </si>
  <si>
    <t>Opening equity</t>
  </si>
  <si>
    <t xml:space="preserve">    Profit after tax</t>
  </si>
  <si>
    <t xml:space="preserve">    Share-based payment credited to reserves</t>
  </si>
  <si>
    <t xml:space="preserve">    Dividends paid (none declared)</t>
  </si>
  <si>
    <t xml:space="preserve">    Other comprehensive income (set to nil)</t>
  </si>
  <si>
    <t>Closing equity (check vs balance sheet)</t>
  </si>
  <si>
    <t>CASH FLOW STATEMENT</t>
  </si>
  <si>
    <t xml:space="preserve">    Depreciation &amp; amortisation</t>
  </si>
  <si>
    <t xml:space="preserve">    (Increase) / decrease in inventories</t>
  </si>
  <si>
    <t xml:space="preserve">    (Increase) / decrease in receivables</t>
  </si>
  <si>
    <t xml:space="preserve">    (Increase) / decrease in other current assets</t>
  </si>
  <si>
    <t xml:space="preserve">    (Increase) / decrease in other non-current assets</t>
  </si>
  <si>
    <t xml:space="preserve">    Increase / (decrease) in trade payables</t>
  </si>
  <si>
    <t xml:space="preserve">    Increase / (decrease) in other current liabilities</t>
  </si>
  <si>
    <t xml:space="preserve">    Increase / (decrease) in other non-current liabilities</t>
  </si>
  <si>
    <t>Net cash from operating activities</t>
  </si>
  <si>
    <t>Capital expenditure</t>
  </si>
  <si>
    <t>Net cash used in investing activities</t>
  </si>
  <si>
    <t>Lease principal repayments</t>
  </si>
  <si>
    <t>Net cash from financing activities</t>
  </si>
  <si>
    <t>Net change in cash &amp; investments</t>
  </si>
  <si>
    <t>Opening cash &amp; investments</t>
  </si>
  <si>
    <t>Closing cash &amp; investments</t>
  </si>
  <si>
    <t>Memo: free cash flow (CFO less capex)</t>
  </si>
  <si>
    <t>Lease rent paid (Ind AS 116)</t>
  </si>
  <si>
    <t>Lease interest expense</t>
  </si>
  <si>
    <t>Lease principal repayment</t>
  </si>
  <si>
    <t>New lease additions (balancing)</t>
  </si>
  <si>
    <t>Right-of-use depreciation</t>
  </si>
  <si>
    <t>PP&amp;E depreciation</t>
  </si>
  <si>
    <t>Net cash / (debt) after lease liabilities</t>
  </si>
  <si>
    <t>Memo: net cash before lease liabilities</t>
  </si>
  <si>
    <t>Interest-earning cash, average (non-circular basis)</t>
  </si>
  <si>
    <t>The lease schedule is derived, not assumed, and reproduces disclosure: ₹2.20cr of lease liability per closing dark store plus the office and warehouse block gives ₹3,565cr at 31-Mar-2025, which at an 8.5% discount rate produces the ₹154cr of FY25 finance costs the company actually reported, and the FY26E schedule produces roughly ₹106cr a quarter against the ₹106cr reported in Q3FY26. Right-of-use assets are set at 90% of the lease liability, the usual steady-state relationship when an asset depreciates straight-line against a liability that unwinds on an effective-interest basis; right-of-use depreciation then falls out of the roll-forward rather than being assumed. Treasury income is measured off opening cash adjusted for half of the year's known capital outflows, deliberately excluding in-year operating generation, in order to avoid a circular reference. That understates finance income and is therefore conservative. Eternal carries no borrowings; all finance cost is lease interest.</t>
  </si>
  <si>
    <t>Built up from observable inputs. Peer betas are unlevered at each peer's own capital structure and relevered at Eternal's.</t>
  </si>
  <si>
    <t>Peer</t>
  </si>
  <si>
    <t>Levered beta</t>
  </si>
  <si>
    <t>Debt / equity</t>
  </si>
  <si>
    <t>Tax rate</t>
  </si>
  <si>
    <t>Unlevered beta</t>
  </si>
  <si>
    <t>Swiggy Limited</t>
  </si>
  <si>
    <t>Avenue Supermarts (DMart)</t>
  </si>
  <si>
    <t>FSN E-Commerce Ventures (Nykaa)</t>
  </si>
  <si>
    <t>Info Edge (India)</t>
  </si>
  <si>
    <t>Brainbees Solutions (FirstCry)</t>
  </si>
  <si>
    <t>Median unlevered beta</t>
  </si>
  <si>
    <t>COST OF EQUITY</t>
  </si>
  <si>
    <t>Target debt / equity (market values, leases only)</t>
  </si>
  <si>
    <t>Relevered beta for Eternal</t>
  </si>
  <si>
    <t>Cost of equity  =  Rf + β × ERP</t>
  </si>
  <si>
    <t>COST OF DEBT &amp; CAPITAL WEIGHTS</t>
  </si>
  <si>
    <t>Pre-tax cost of debt (lease discount rate)</t>
  </si>
  <si>
    <t>After-tax cost of debt</t>
  </si>
  <si>
    <t>Lease liabilities, FY26E (₹ cr)</t>
  </si>
  <si>
    <t>Weight of equity</t>
  </si>
  <si>
    <t>Weight of debt</t>
  </si>
  <si>
    <t>WACC</t>
  </si>
  <si>
    <t>WACC × terminal growth. Live formulas throughout; no Excel data table, so the grid cannot silently fail to recalculate.</t>
  </si>
  <si>
    <t>WACC \ g</t>
  </si>
  <si>
    <t>IMPLIED UPSIDE / (DOWNSIDE) vs REFERENCE PRICE</t>
  </si>
  <si>
    <t>Valuation date 31 March 2026. FY27E-FY33E discounted at periods 1 to 7. A seven-year explicit forecast is used because the business is still scaling and near-term free cash flow is not representative.</t>
  </si>
  <si>
    <t>Free cash flow to the firm (₹ cr)</t>
  </si>
  <si>
    <t>FCFF BUILD</t>
  </si>
  <si>
    <t>Effective tax rate</t>
  </si>
  <si>
    <t>NOPAT</t>
  </si>
  <si>
    <t xml:space="preserve">    Add: depreciation &amp; amortisation</t>
  </si>
  <si>
    <t xml:space="preserve">    Less: capital expenditure</t>
  </si>
  <si>
    <t xml:space="preserve">    Less: increase in net working capital</t>
  </si>
  <si>
    <t xml:space="preserve">    Less: lease principal repayments</t>
  </si>
  <si>
    <t>FREE CASH FLOW TO THE FIRM</t>
  </si>
  <si>
    <t xml:space="preserve">  FCFF margin on B2C net order value</t>
  </si>
  <si>
    <t>DISCOUNTING</t>
  </si>
  <si>
    <t>Discount period</t>
  </si>
  <si>
    <t>yrs</t>
  </si>
  <si>
    <t>Discount factor</t>
  </si>
  <si>
    <t>PV of FCFF</t>
  </si>
  <si>
    <t>ENTERPRISE &amp; EQUITY VALUE</t>
  </si>
  <si>
    <t>PV of explicit forecast FCFF (FY27E-FY33E)</t>
  </si>
  <si>
    <t>Terminal value at FY33E (Gordon growth)</t>
  </si>
  <si>
    <t>PV of terminal value</t>
  </si>
  <si>
    <t>ENTERPRISE VALUE</t>
  </si>
  <si>
    <t xml:space="preserve">  Terminal value as % of enterprise value</t>
  </si>
  <si>
    <t>Cash, deposits &amp; treasury investments, FY26E</t>
  </si>
  <si>
    <t>Less: lease liabilities, FY26E</t>
  </si>
  <si>
    <t>Net cash after lease liabilities</t>
  </si>
  <si>
    <t>EQUITY VALUE</t>
  </si>
  <si>
    <t>Current market price</t>
  </si>
  <si>
    <t>Implied upside / (downside)</t>
  </si>
  <si>
    <t>Market capitalisation at CMP</t>
  </si>
  <si>
    <t xml:space="preserve">    Less: net cash after lease liabilities</t>
  </si>
  <si>
    <t>Market-implied enterprise value</t>
  </si>
  <si>
    <t xml:space="preserve">    Less: PV of explicit FY27E-FY33E FCFF</t>
  </si>
  <si>
    <t>Market-implied PV of terminal value</t>
  </si>
  <si>
    <t>Market-implied terminal value at FY33E</t>
  </si>
  <si>
    <t>IMPLIED PERPETUAL GROWTH AT CURRENT PRICE</t>
  </si>
  <si>
    <t>Our base-case terminal growth</t>
  </si>
  <si>
    <t>India nominal GDP growth (reference)</t>
  </si>
  <si>
    <t>Eternal is four businesses with different growth, margin and capital profiles. Consolidated multiples are close to meaningless here; this is the primary valuation method.</t>
  </si>
  <si>
    <t>Segment</t>
  </si>
  <si>
    <t>Valuation metric (FY30E)</t>
  </si>
  <si>
    <t>Metric value (₹ cr)</t>
  </si>
  <si>
    <t>Multiple</t>
  </si>
  <si>
    <t>Enterprise value (₹ cr)</t>
  </si>
  <si>
    <t>% of total</t>
  </si>
  <si>
    <t>Quick commerce (Blinkit)</t>
  </si>
  <si>
    <t>EV / net order value</t>
  </si>
  <si>
    <t>Food delivery (Zomato)</t>
  </si>
  <si>
    <t>EV / adjusted EBITDA</t>
  </si>
  <si>
    <t>Going-out (District)</t>
  </si>
  <si>
    <t>Hyperpure (B2B supplies)</t>
  </si>
  <si>
    <t>EV / revenue</t>
  </si>
  <si>
    <t>Other segments (Bistro, Nugget)</t>
  </si>
  <si>
    <t>Loss-making; no value ascribed</t>
  </si>
  <si>
    <t>Total enterprise value, FY30E basis</t>
  </si>
  <si>
    <t>DISCOUNT BACK TO THE VALUATION DATE</t>
  </si>
  <si>
    <t>Years from 31-Mar-2026 to FY30E</t>
  </si>
  <si>
    <t>Discount rate (WACC)</t>
  </si>
  <si>
    <t>Present value of segment enterprise value</t>
  </si>
  <si>
    <t>Add: net cash after lease liabilities, FY26E</t>
  </si>
  <si>
    <t>Blinkit EV / FY30E revenue (implied)</t>
  </si>
  <si>
    <t>Blinkit EV / FY30E adjusted EBITDA (implied)</t>
  </si>
  <si>
    <t>Food delivery EV / FY30E NOV (implied)</t>
  </si>
  <si>
    <t>DMart EV / trailing revenue (reference)</t>
  </si>
  <si>
    <t>Blinkit implied EV as % of total</t>
  </si>
  <si>
    <t>Company</t>
  </si>
  <si>
    <t>Price (₹)</t>
  </si>
  <si>
    <t>Mkt cap (₹ cr)</t>
  </si>
  <si>
    <t>Net cash (₹ cr)</t>
  </si>
  <si>
    <t>Ent. value (₹ cr)</t>
  </si>
  <si>
    <t>Revenue (₹ cr)</t>
  </si>
  <si>
    <t>EBITDA margin</t>
  </si>
  <si>
    <t>Revenue growth</t>
  </si>
  <si>
    <t>ETERNAL (this model, FY26E)</t>
  </si>
  <si>
    <t>Eternal premium / (discount) to DMart on EV / revenue</t>
  </si>
  <si>
    <t>Eternal EV / FY27E B2C net order value</t>
  </si>
  <si>
    <t>Swiggy EV / FY27E gross order value (estimate)</t>
  </si>
  <si>
    <t>Eternal premium to Swiggy on EV / order value</t>
  </si>
  <si>
    <t>FY27E B2C net order value (₹ cr)</t>
  </si>
  <si>
    <t>Target EV / NOV multiple</t>
  </si>
  <si>
    <t>Implied enterprise value (₹ cr)</t>
  </si>
  <si>
    <t>Add: net cash after lease liabilities, FY26E (₹ cr)</t>
  </si>
  <si>
    <t>Scenario driver</t>
  </si>
  <si>
    <t>Value/sh</t>
  </si>
  <si>
    <t xml:space="preserve">    Blinkit dark stores, closing</t>
  </si>
  <si>
    <t xml:space="preserve">    Blinkit net order value</t>
  </si>
  <si>
    <t xml:space="preserve">    Blinkit adjusted EBITDA margin (% of NOV)</t>
  </si>
  <si>
    <t>Consolidated adjusted EBITDA</t>
  </si>
  <si>
    <t>Free cash flow to the firm</t>
  </si>
  <si>
    <t>WACC / terminal growth</t>
  </si>
  <si>
    <t>Implied upside / (downside) vs reference price</t>
  </si>
  <si>
    <t>SCENARIO SUMMARY</t>
  </si>
  <si>
    <t>Upside</t>
  </si>
  <si>
    <t>Probability</t>
  </si>
  <si>
    <t>Weighted</t>
  </si>
  <si>
    <t>Bull</t>
  </si>
  <si>
    <t>Base</t>
  </si>
  <si>
    <t>Bear</t>
  </si>
  <si>
    <t>Probability-weighted value per share</t>
  </si>
  <si>
    <t>Probability check (must equal 100%)</t>
  </si>
  <si>
    <t>Ratio Analysis &amp; DuPont Decomposition</t>
  </si>
  <si>
    <t>One year of audited history and eight forecast years. All ratios computed live from the Model tab.</t>
  </si>
  <si>
    <t>PROFITABILITY</t>
  </si>
  <si>
    <t>Gross margin</t>
  </si>
  <si>
    <t>Adjusted EBITDA margin on B2C net order value</t>
  </si>
  <si>
    <t>EBITDA margin on revenue</t>
  </si>
  <si>
    <t>EBIT margin on revenue</t>
  </si>
  <si>
    <t>Net margin</t>
  </si>
  <si>
    <t>Return on equity</t>
  </si>
  <si>
    <t>Return on capital employed (EBIT basis)</t>
  </si>
  <si>
    <t>Return on invested capital (NOPAT / IC)</t>
  </si>
  <si>
    <t xml:space="preserve">      Memo: goodwill as % of invested capital</t>
  </si>
  <si>
    <t>DUPONT DECOMPOSITION  (3-step)</t>
  </si>
  <si>
    <t xml:space="preserve">    Net margin  (PAT / revenue)</t>
  </si>
  <si>
    <t xml:space="preserve">    ×  Asset turnover  (revenue / average assets)</t>
  </si>
  <si>
    <t xml:space="preserve">    ×  Equity multiplier  (average assets / average equity)</t>
  </si>
  <si>
    <t xml:space="preserve">    =  Return on equity</t>
  </si>
  <si>
    <t xml:space="preserve">   Cross-check vs direct ROE (must be zero)</t>
  </si>
  <si>
    <t>LIQUIDITY &amp; LEVERAGE</t>
  </si>
  <si>
    <t>Net cash / (debt) after leases (₹ cr)</t>
  </si>
  <si>
    <t>Lease liabilities / equity</t>
  </si>
  <si>
    <t>Net debt / adjusted EBITDA</t>
  </si>
  <si>
    <t>Interest coverage (EBIT / lease interest)</t>
  </si>
  <si>
    <t>EFFICIENCY</t>
  </si>
  <si>
    <t>Inventory days (on COGS)</t>
  </si>
  <si>
    <t>Trade payable days (on COGS)</t>
  </si>
  <si>
    <t>Trade receivable days (on revenue)</t>
  </si>
  <si>
    <t>Cash conversion cycle (days)</t>
  </si>
  <si>
    <t>Capex as % of B2C net order value</t>
  </si>
  <si>
    <t>NOV per average dark store per day (₹ lakh)</t>
  </si>
  <si>
    <t>VALUATION AT REFERENCE PRICE</t>
  </si>
  <si>
    <t>P / E</t>
  </si>
  <si>
    <t>EV / B2C net order value</t>
  </si>
  <si>
    <t>P / B</t>
  </si>
  <si>
    <t>Free cash flow yield</t>
  </si>
  <si>
    <t>Date - March 2nd, 2026.</t>
  </si>
  <si>
    <t>#</t>
  </si>
  <si>
    <t>Reported Historicals - Full Post-IPO History, FY21A to 9M FY26</t>
  </si>
  <si>
    <t>Ind AS consolidated, ₹ in crore. Zomato listed 23 July 2021; FY22 is the first annual report as a listed company and FY21 the prospectus comparative. Income statement, balance sheet, cash flow and derived trends - all reported. FY26E links live to the Model tab.</t>
  </si>
  <si>
    <t>Profit before tax - as reported</t>
  </si>
  <si>
    <t>EPS - basic (₹)</t>
  </si>
  <si>
    <t>OPERATING EXPENDITURE DETAIL - disclosed by line only from FY25A</t>
  </si>
  <si>
    <t>ADJUSTED EBITDA BY SEGMENT AND THE B2C NOV BUILD (₹ cr) - Q3 FY26</t>
  </si>
  <si>
    <t xml:space="preserve">    Adjusted EBITDA - food delivery</t>
  </si>
  <si>
    <t xml:space="preserve">    Adjusted EBITDA - quick commerce</t>
  </si>
  <si>
    <t xml:space="preserve">    Adjusted EBITDA - going-out</t>
  </si>
  <si>
    <t xml:space="preserve">    Adjusted EBITDA - Hyperpure</t>
  </si>
  <si>
    <t xml:space="preserve">    Adjusted EBITDA - other segments</t>
  </si>
  <si>
    <t>Implied NOV - food delivery (₹531cr ÷ 5.4%)</t>
  </si>
  <si>
    <t>Implied NOV - going-out (₹121cr ÷ 4.7%)</t>
  </si>
  <si>
    <t>OPERATING METRICS - THE TELL</t>
  </si>
  <si>
    <t xml:space="preserve">    India quick commerce NOV share - Blinkit</t>
  </si>
  <si>
    <t xml:space="preserve">    India QC NOV share - Instamart / Zepto</t>
  </si>
  <si>
    <t>CONSOLIDATED BALANCE SHEET (₹ cr) - as reported</t>
  </si>
  <si>
    <t>CONSOLIDATED CASH FLOW STATEMENT (₹ cr) - as reported</t>
  </si>
  <si>
    <t>DERIVED WORKING-CAPITAL AND RETURN TRENDS - why the long history matters</t>
  </si>
  <si>
    <t>QUICK COMMERCE (BLINKIT) - DARK-STORE ROLL-FORWARD</t>
  </si>
  <si>
    <t>COST OF CAPITAL - see WACC tab</t>
  </si>
  <si>
    <t>Revenue Build - Segment NOV and Unit Economics</t>
  </si>
  <si>
    <t>Net order value - B2C businesses</t>
  </si>
  <si>
    <t>Three-Statement Model - Income Statement, Balance Sheet, Cash Flow</t>
  </si>
  <si>
    <t>EPS - basic</t>
  </si>
  <si>
    <t>BALANCE SHEET - ASSETS</t>
  </si>
  <si>
    <t>BALANCE SHEET - LIABILITIES &amp; EQUITY</t>
  </si>
  <si>
    <t>SUPPORTING SCHEDULES - LEASES, DEPRECIATION AND TREASURY</t>
  </si>
  <si>
    <t>Cost of Capital - CAPM Build</t>
  </si>
  <si>
    <t>Risk-free rate - India 10Y G-Sec</t>
  </si>
  <si>
    <t>Equity risk premium - India</t>
  </si>
  <si>
    <t>Sensitivity - Value per Share</t>
  </si>
  <si>
    <t>VALUE PER SHARE (₹) - WACC (rows) × TERMINAL GROWTH (columns)</t>
  </si>
  <si>
    <t>Discounted Cash Flow - FCFF</t>
  </si>
  <si>
    <t>VALUE PER SHARE - DCF</t>
  </si>
  <si>
    <t>REVERSE DCF - WHAT THE CURRENT PRICE IMPLIES</t>
  </si>
  <si>
    <t>Sum-of-the-Parts - FY30E Segment Metrics</t>
  </si>
  <si>
    <t>VALUE PER SHARE - SOTP</t>
  </si>
  <si>
    <t>CROSS-CHECK - WHAT EACH MULTIPLE IMPLIES</t>
  </si>
  <si>
    <t>Listed Peer Comparables - India Consumer Internet &amp; Organised Retail</t>
  </si>
  <si>
    <t>Prices as at the dates stated below. Every figure sourced; none carried from memory. The peer set is deliberately narrow - see the note.</t>
  </si>
  <si>
    <t>Zepto (unlisted, IPO-bound) - last private mark</t>
  </si>
  <si>
    <t>WHY EV / REVENUE DOES NOT WORK HERE - AND WHAT DOES</t>
  </si>
  <si>
    <t>IMPLIED VALUATION - EV / NET ORDER VALUE</t>
  </si>
  <si>
    <t>Implied value per share - EV / NOV method</t>
  </si>
  <si>
    <t>Scenarios - Bull / Base / Bear</t>
  </si>
  <si>
    <t>Each scenario is a live seven-year mini-DCF driven off Blinkit's store count, store productivity and margin - the three variables that decide this stock. Assumption deltas are stated, not just outputs.</t>
  </si>
  <si>
    <t>BULL - competition rationalises, Blinkit runs at 4,000 stores by March 2027 and lands the top of its guided margin band</t>
  </si>
  <si>
    <t>BASE - mirrors the main model; drivers linked live to the Assumptions tab</t>
  </si>
  <si>
    <t>BEAR - Amazon Now, Flipkart Minutes and a freshly funded Zepto turn quick commerce into a multi-year subsidy war</t>
  </si>
  <si>
    <t>Marginal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</si>
</sst>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₹#,##0.00;&quot;(₹&quot;#,##0.00\);\-"/>
    <numFmt numFmtId="165" formatCode="0.0%;\(0.0%\);\-"/>
    <numFmt numFmtId="166" formatCode="#,##0;\(#,##0\);\-"/>
    <numFmt numFmtId="167" formatCode="#,##0.0;\(#,##0.0\);\-"/>
    <numFmt numFmtId="168" formatCode="#,##0.00;\(#,##0.00\);\-"/>
    <numFmt numFmtId="169" formatCode="0.0\x"/>
    <numFmt numFmtId="170" formatCode="#,##0.0;\(#,##0.0\);&quot;0.0&quot;"/>
    <numFmt numFmtId="171" formatCode="0.00%;\(0.00%\);\-"/>
  </numFmts>
  <fonts count="3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D97706"/>
      <name val="Arial"/>
      <family val="2"/>
      <charset val="1"/>
    </font>
    <font>
      <b/>
      <sz val="16"/>
      <color rgb="FF1F2937"/>
      <name val="Arial"/>
      <family val="2"/>
      <charset val="1"/>
    </font>
    <font>
      <i/>
      <sz val="10"/>
      <color rgb="FF6B72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8"/>
      <color rgb="FF6B7280"/>
      <name val="Arial"/>
      <family val="2"/>
      <charset val="1"/>
    </font>
    <font>
      <b/>
      <sz val="10"/>
      <color rgb="FF1F2937"/>
      <name val="Arial"/>
      <family val="2"/>
      <charset val="1"/>
    </font>
    <font>
      <b/>
      <sz val="11"/>
      <color rgb="FF1F2937"/>
      <name val="Calibri"/>
      <family val="2"/>
    </font>
    <font>
      <i/>
      <sz val="11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8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D97706"/>
      <name val="Calibri"/>
      <family val="2"/>
    </font>
    <font>
      <b/>
      <sz val="11"/>
      <color rgb="FF0000FF"/>
      <name val="Calibri"/>
      <family val="2"/>
    </font>
    <font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DCFCE7"/>
        <bgColor rgb="FFCCFFCC"/>
      </patternFill>
    </fill>
    <fill>
      <patternFill patternType="solid">
        <fgColor rgb="FFE5E7EB"/>
        <bgColor rgb="FFDCFCE7"/>
      </patternFill>
    </fill>
    <fill>
      <patternFill patternType="solid">
        <fgColor theme="0" tint="-4.9989318521683403E-2"/>
        <bgColor rgb="FFDCFCE7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165" fontId="8" fillId="0" borderId="0" xfId="0" applyNumberFormat="1" applyFont="1"/>
    <xf numFmtId="165" fontId="7" fillId="5" borderId="0" xfId="0" applyNumberFormat="1" applyFont="1" applyFill="1"/>
    <xf numFmtId="0" fontId="9" fillId="0" borderId="0" xfId="0" applyFont="1" applyAlignment="1">
      <alignment wrapText="1"/>
    </xf>
    <xf numFmtId="0" fontId="10" fillId="6" borderId="0" xfId="0" applyFont="1" applyFill="1"/>
    <xf numFmtId="171" fontId="8" fillId="0" borderId="0" xfId="0" applyNumberFormat="1" applyFont="1"/>
    <xf numFmtId="165" fontId="6" fillId="2" borderId="0" xfId="0" applyNumberFormat="1" applyFont="1" applyFill="1" applyAlignment="1">
      <alignment horizontal="center"/>
    </xf>
    <xf numFmtId="164" fontId="8" fillId="0" borderId="0" xfId="0" applyNumberFormat="1" applyFont="1"/>
    <xf numFmtId="171" fontId="7" fillId="5" borderId="0" xfId="0" applyNumberFormat="1" applyFont="1" applyFill="1"/>
    <xf numFmtId="164" fontId="7" fillId="5" borderId="0" xfId="0" applyNumberFormat="1" applyFont="1" applyFill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0" fontId="11" fillId="3" borderId="1" xfId="0" applyFont="1" applyFill="1" applyBorder="1" applyAlignment="1">
      <alignment horizontal="center"/>
    </xf>
    <xf numFmtId="0" fontId="14" fillId="0" borderId="0" xfId="0" applyFont="1"/>
    <xf numFmtId="164" fontId="15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0" fontId="16" fillId="0" borderId="0" xfId="0" applyFont="1"/>
    <xf numFmtId="165" fontId="17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65" fontId="16" fillId="0" borderId="0" xfId="0" applyNumberFormat="1" applyFont="1"/>
    <xf numFmtId="0" fontId="13" fillId="2" borderId="0" xfId="0" applyFont="1" applyFill="1" applyAlignment="1">
      <alignment horizontal="center"/>
    </xf>
    <xf numFmtId="164" fontId="18" fillId="0" borderId="0" xfId="0" applyNumberFormat="1" applyFont="1"/>
    <xf numFmtId="165" fontId="17" fillId="4" borderId="0" xfId="0" applyNumberFormat="1" applyFont="1" applyFill="1"/>
    <xf numFmtId="168" fontId="16" fillId="0" borderId="0" xfId="0" applyNumberFormat="1" applyFont="1"/>
    <xf numFmtId="165" fontId="14" fillId="0" borderId="2" xfId="0" applyNumberFormat="1" applyFont="1" applyBorder="1"/>
    <xf numFmtId="164" fontId="14" fillId="0" borderId="2" xfId="0" applyNumberFormat="1" applyFont="1" applyBorder="1"/>
    <xf numFmtId="165" fontId="18" fillId="0" borderId="0" xfId="0" applyNumberFormat="1" applyFont="1"/>
    <xf numFmtId="168" fontId="18" fillId="0" borderId="0" xfId="0" applyNumberFormat="1" applyFont="1"/>
    <xf numFmtId="169" fontId="18" fillId="0" borderId="0" xfId="0" applyNumberFormat="1" applyFont="1"/>
    <xf numFmtId="170" fontId="14" fillId="5" borderId="0" xfId="0" applyNumberFormat="1" applyFont="1" applyFill="1"/>
    <xf numFmtId="165" fontId="14" fillId="5" borderId="0" xfId="0" applyNumberFormat="1" applyFont="1" applyFill="1"/>
    <xf numFmtId="0" fontId="12" fillId="0" borderId="0" xfId="0" applyFont="1" applyAlignment="1">
      <alignment wrapText="1"/>
    </xf>
    <xf numFmtId="0" fontId="11" fillId="6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wrapText="1"/>
    </xf>
    <xf numFmtId="0" fontId="23" fillId="2" borderId="0" xfId="0" applyFont="1" applyFill="1"/>
    <xf numFmtId="0" fontId="23" fillId="2" borderId="0" xfId="0" applyFont="1" applyFill="1" applyAlignment="1">
      <alignment horizontal="center"/>
    </xf>
    <xf numFmtId="0" fontId="21" fillId="6" borderId="0" xfId="0" applyFont="1" applyFill="1"/>
    <xf numFmtId="0" fontId="24" fillId="0" borderId="0" xfId="0" applyFont="1"/>
    <xf numFmtId="0" fontId="22" fillId="0" borderId="0" xfId="0" applyFont="1" applyAlignment="1">
      <alignment horizontal="center"/>
    </xf>
    <xf numFmtId="166" fontId="25" fillId="0" borderId="0" xfId="0" applyNumberFormat="1" applyFont="1"/>
    <xf numFmtId="166" fontId="26" fillId="0" borderId="0" xfId="0" applyNumberFormat="1" applyFont="1"/>
    <xf numFmtId="0" fontId="27" fillId="0" borderId="0" xfId="0" applyFont="1"/>
    <xf numFmtId="165" fontId="27" fillId="0" borderId="0" xfId="0" applyNumberFormat="1" applyFont="1"/>
    <xf numFmtId="166" fontId="28" fillId="0" borderId="0" xfId="0" applyNumberFormat="1" applyFont="1"/>
    <xf numFmtId="166" fontId="29" fillId="0" borderId="0" xfId="0" applyNumberFormat="1" applyFont="1"/>
    <xf numFmtId="166" fontId="27" fillId="0" borderId="2" xfId="0" applyNumberFormat="1" applyFont="1" applyBorder="1"/>
    <xf numFmtId="166" fontId="24" fillId="0" borderId="2" xfId="0" applyNumberFormat="1" applyFont="1" applyBorder="1"/>
    <xf numFmtId="166" fontId="25" fillId="0" borderId="2" xfId="0" applyNumberFormat="1" applyFont="1" applyBorder="1"/>
    <xf numFmtId="166" fontId="26" fillId="0" borderId="2" xfId="0" applyNumberFormat="1" applyFont="1" applyBorder="1"/>
    <xf numFmtId="166" fontId="25" fillId="0" borderId="3" xfId="0" applyNumberFormat="1" applyFont="1" applyBorder="1"/>
    <xf numFmtId="166" fontId="26" fillId="0" borderId="3" xfId="0" applyNumberFormat="1" applyFont="1" applyBorder="1"/>
    <xf numFmtId="168" fontId="28" fillId="0" borderId="0" xfId="0" applyNumberFormat="1" applyFont="1"/>
    <xf numFmtId="168" fontId="29" fillId="0" borderId="0" xfId="0" applyNumberFormat="1" applyFont="1"/>
    <xf numFmtId="170" fontId="24" fillId="5" borderId="0" xfId="0" applyNumberFormat="1" applyFont="1" applyFill="1"/>
    <xf numFmtId="166" fontId="27" fillId="0" borderId="0" xfId="0" applyNumberFormat="1" applyFont="1"/>
    <xf numFmtId="0" fontId="28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167" fontId="28" fillId="0" borderId="0" xfId="0" applyNumberFormat="1" applyFont="1"/>
    <xf numFmtId="167" fontId="24" fillId="0" borderId="2" xfId="0" applyNumberFormat="1" applyFont="1" applyBorder="1"/>
    <xf numFmtId="165" fontId="28" fillId="0" borderId="0" xfId="0" applyNumberFormat="1" applyFont="1"/>
    <xf numFmtId="167" fontId="29" fillId="4" borderId="0" xfId="0" applyNumberFormat="1" applyFont="1" applyFill="1"/>
    <xf numFmtId="0" fontId="1" fillId="0" borderId="0" xfId="0" applyFont="1"/>
    <xf numFmtId="0" fontId="30" fillId="0" borderId="0" xfId="0" applyFont="1"/>
    <xf numFmtId="0" fontId="12" fillId="0" borderId="0" xfId="0" applyFont="1" applyAlignment="1">
      <alignment horizontal="center"/>
    </xf>
    <xf numFmtId="164" fontId="17" fillId="4" borderId="0" xfId="0" applyNumberFormat="1" applyFont="1" applyFill="1"/>
    <xf numFmtId="167" fontId="17" fillId="0" borderId="0" xfId="0" applyNumberFormat="1" applyFont="1"/>
    <xf numFmtId="166" fontId="16" fillId="0" borderId="0" xfId="0" applyNumberFormat="1" applyFont="1"/>
    <xf numFmtId="0" fontId="17" fillId="0" borderId="0" xfId="0" applyFont="1"/>
    <xf numFmtId="166" fontId="17" fillId="0" borderId="0" xfId="0" applyNumberFormat="1" applyFont="1"/>
    <xf numFmtId="166" fontId="17" fillId="4" borderId="0" xfId="0" applyNumberFormat="1" applyFont="1" applyFill="1"/>
    <xf numFmtId="168" fontId="17" fillId="4" borderId="0" xfId="0" applyNumberFormat="1" applyFont="1" applyFill="1"/>
    <xf numFmtId="168" fontId="17" fillId="0" borderId="0" xfId="0" applyNumberFormat="1" applyFont="1"/>
    <xf numFmtId="167" fontId="17" fillId="4" borderId="0" xfId="0" applyNumberFormat="1" applyFont="1" applyFill="1"/>
    <xf numFmtId="171" fontId="15" fillId="0" borderId="0" xfId="0" applyNumberFormat="1" applyFont="1"/>
    <xf numFmtId="171" fontId="31" fillId="4" borderId="0" xfId="0" applyNumberFormat="1" applyFont="1" applyFill="1"/>
    <xf numFmtId="0" fontId="22" fillId="0" borderId="0" xfId="0" applyFont="1"/>
    <xf numFmtId="167" fontId="27" fillId="0" borderId="0" xfId="0" applyNumberFormat="1" applyFont="1"/>
    <xf numFmtId="165" fontId="29" fillId="0" borderId="0" xfId="0" applyNumberFormat="1" applyFont="1"/>
    <xf numFmtId="166" fontId="24" fillId="0" borderId="0" xfId="0" applyNumberFormat="1" applyFont="1"/>
    <xf numFmtId="166" fontId="24" fillId="0" borderId="3" xfId="0" applyNumberFormat="1" applyFont="1" applyBorder="1"/>
    <xf numFmtId="167" fontId="29" fillId="0" borderId="0" xfId="0" applyNumberFormat="1" applyFont="1"/>
    <xf numFmtId="168" fontId="24" fillId="0" borderId="0" xfId="0" applyNumberFormat="1" applyFont="1"/>
    <xf numFmtId="168" fontId="14" fillId="0" borderId="2" xfId="0" applyNumberFormat="1" applyFont="1" applyBorder="1"/>
    <xf numFmtId="171" fontId="17" fillId="4" borderId="0" xfId="0" applyNumberFormat="1" applyFont="1" applyFill="1"/>
    <xf numFmtId="171" fontId="16" fillId="0" borderId="0" xfId="0" applyNumberFormat="1" applyFont="1"/>
    <xf numFmtId="171" fontId="17" fillId="0" borderId="0" xfId="0" applyNumberFormat="1" applyFont="1"/>
    <xf numFmtId="171" fontId="14" fillId="0" borderId="2" xfId="0" applyNumberFormat="1" applyFont="1" applyBorder="1"/>
    <xf numFmtId="171" fontId="18" fillId="0" borderId="0" xfId="0" applyNumberFormat="1" applyFont="1"/>
    <xf numFmtId="171" fontId="14" fillId="0" borderId="3" xfId="0" applyNumberFormat="1" applyFont="1" applyBorder="1"/>
    <xf numFmtId="166" fontId="14" fillId="0" borderId="2" xfId="0" applyNumberFormat="1" applyFont="1" applyBorder="1"/>
    <xf numFmtId="166" fontId="14" fillId="0" borderId="3" xfId="0" applyNumberFormat="1" applyFont="1" applyBorder="1"/>
    <xf numFmtId="169" fontId="17" fillId="4" borderId="0" xfId="0" applyNumberFormat="1" applyFont="1" applyFill="1"/>
    <xf numFmtId="164" fontId="14" fillId="0" borderId="3" xfId="0" applyNumberFormat="1" applyFont="1" applyBorder="1"/>
    <xf numFmtId="169" fontId="16" fillId="0" borderId="0" xfId="0" applyNumberFormat="1" applyFont="1"/>
    <xf numFmtId="0" fontId="32" fillId="0" borderId="0" xfId="0" applyFont="1"/>
    <xf numFmtId="168" fontId="15" fillId="0" borderId="0" xfId="0" applyNumberFormat="1" applyFont="1"/>
    <xf numFmtId="166" fontId="15" fillId="0" borderId="0" xfId="0" applyNumberFormat="1" applyFont="1"/>
    <xf numFmtId="166" fontId="14" fillId="0" borderId="0" xfId="0" applyNumberFormat="1" applyFont="1"/>
    <xf numFmtId="169" fontId="14" fillId="0" borderId="0" xfId="0" applyNumberFormat="1" applyFont="1"/>
    <xf numFmtId="164" fontId="16" fillId="0" borderId="0" xfId="0" applyNumberFormat="1" applyFont="1"/>
    <xf numFmtId="165" fontId="24" fillId="0" borderId="2" xfId="0" applyNumberFormat="1" applyFont="1" applyBorder="1"/>
    <xf numFmtId="169" fontId="29" fillId="0" borderId="0" xfId="0" applyNumberFormat="1" applyFont="1"/>
    <xf numFmtId="0" fontId="10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7706"/>
    <pageSetUpPr fitToPage="1"/>
  </sheetPr>
  <dimension ref="A1:K51"/>
  <sheetViews>
    <sheetView showGridLines="0" tabSelected="1" topLeftCell="A2" zoomScale="145" zoomScaleNormal="145" workbookViewId="0">
      <selection activeCell="F14" sqref="F14"/>
    </sheetView>
  </sheetViews>
  <sheetFormatPr defaultColWidth="8.6640625" defaultRowHeight="14.25" x14ac:dyDescent="0.45"/>
  <cols>
    <col min="1" max="1" width="3.19921875" style="14" customWidth="1"/>
    <col min="2" max="2" width="59.6640625" style="14" customWidth="1"/>
    <col min="3" max="11" width="15" style="14" customWidth="1"/>
    <col min="12" max="16384" width="8.6640625" style="14"/>
  </cols>
  <sheetData>
    <row r="1" spans="1:3" x14ac:dyDescent="0.45">
      <c r="B1" s="15" t="s">
        <v>1</v>
      </c>
    </row>
    <row r="2" spans="1:3" x14ac:dyDescent="0.45">
      <c r="B2" s="16" t="s">
        <v>470</v>
      </c>
    </row>
    <row r="4" spans="1:3" x14ac:dyDescent="0.45">
      <c r="A4" s="14" t="s">
        <v>471</v>
      </c>
      <c r="B4" s="17" t="s">
        <v>2</v>
      </c>
      <c r="C4" s="18" t="s">
        <v>3</v>
      </c>
    </row>
    <row r="6" spans="1:3" x14ac:dyDescent="0.45">
      <c r="B6" s="19" t="s">
        <v>4</v>
      </c>
      <c r="C6" s="20">
        <f>Assumptions!$D$6</f>
        <v>242.87</v>
      </c>
    </row>
    <row r="7" spans="1:3" x14ac:dyDescent="0.45">
      <c r="B7" s="19" t="s">
        <v>5</v>
      </c>
      <c r="C7" s="21">
        <f>ROUND(E21,0)</f>
        <v>304</v>
      </c>
    </row>
    <row r="8" spans="1:3" x14ac:dyDescent="0.45">
      <c r="B8" s="19" t="s">
        <v>6</v>
      </c>
      <c r="C8" s="22">
        <f>C7/C6-1</f>
        <v>0.25169843949437976</v>
      </c>
    </row>
    <row r="9" spans="1:3" x14ac:dyDescent="0.45">
      <c r="B9" s="23" t="s">
        <v>7</v>
      </c>
      <c r="C9" s="24">
        <v>0</v>
      </c>
    </row>
    <row r="10" spans="1:3" x14ac:dyDescent="0.45">
      <c r="B10" s="19" t="s">
        <v>8</v>
      </c>
      <c r="C10" s="22">
        <f>C8+C9</f>
        <v>0.25169843949437976</v>
      </c>
    </row>
    <row r="12" spans="1:3" x14ac:dyDescent="0.45">
      <c r="B12" s="23" t="s">
        <v>9</v>
      </c>
      <c r="C12" s="25">
        <f>Assumptions!$D$8</f>
        <v>234379.2648</v>
      </c>
    </row>
    <row r="13" spans="1:3" x14ac:dyDescent="0.45">
      <c r="B13" s="23" t="s">
        <v>10</v>
      </c>
      <c r="C13" s="26">
        <f>Assumptions!$D$7</f>
        <v>965.04</v>
      </c>
    </row>
    <row r="14" spans="1:3" x14ac:dyDescent="0.45">
      <c r="B14" s="23" t="s">
        <v>11</v>
      </c>
      <c r="C14" s="25">
        <f>Model!E94</f>
        <v>18911.496592589861</v>
      </c>
    </row>
    <row r="15" spans="1:3" x14ac:dyDescent="0.45">
      <c r="B15" s="23" t="s">
        <v>12</v>
      </c>
      <c r="C15" s="27" t="s">
        <v>13</v>
      </c>
    </row>
    <row r="17" spans="1:9" x14ac:dyDescent="0.45">
      <c r="A17" s="14" t="s">
        <v>471</v>
      </c>
      <c r="B17" s="17" t="s">
        <v>14</v>
      </c>
      <c r="C17" s="28" t="s">
        <v>15</v>
      </c>
      <c r="D17" s="28" t="s">
        <v>16</v>
      </c>
      <c r="E17" s="28" t="s">
        <v>17</v>
      </c>
    </row>
    <row r="18" spans="1:9" x14ac:dyDescent="0.45">
      <c r="B18" s="23" t="s">
        <v>18</v>
      </c>
      <c r="C18" s="29">
        <f>DCF!L40</f>
        <v>238.04631880220461</v>
      </c>
      <c r="D18" s="30">
        <v>0.3</v>
      </c>
      <c r="E18" s="31">
        <f>C18*D18</f>
        <v>71.41389564066138</v>
      </c>
    </row>
    <row r="19" spans="1:9" x14ac:dyDescent="0.45">
      <c r="B19" s="23" t="s">
        <v>19</v>
      </c>
      <c r="C19" s="29">
        <f>SOTP!$D$24</f>
        <v>336.07020478841855</v>
      </c>
      <c r="D19" s="30">
        <v>0.5</v>
      </c>
      <c r="E19" s="31">
        <f>C19*D19</f>
        <v>168.03510239420928</v>
      </c>
      <c r="I19" s="14" t="s">
        <v>13</v>
      </c>
    </row>
    <row r="20" spans="1:9" x14ac:dyDescent="0.45">
      <c r="B20" s="23" t="s">
        <v>20</v>
      </c>
      <c r="C20" s="29">
        <f>Comps!$D$22</f>
        <v>322.96111725170971</v>
      </c>
      <c r="D20" s="30">
        <v>0.2</v>
      </c>
      <c r="E20" s="31">
        <f>C20*D20</f>
        <v>64.592223450341947</v>
      </c>
    </row>
    <row r="21" spans="1:9" x14ac:dyDescent="0.45">
      <c r="B21" s="19" t="s">
        <v>21</v>
      </c>
      <c r="D21" s="32">
        <f>SUM(D18:D20)</f>
        <v>1</v>
      </c>
      <c r="E21" s="33">
        <f>SUM(E18:E20)</f>
        <v>304.04122148521265</v>
      </c>
    </row>
    <row r="22" spans="1:9" x14ac:dyDescent="0.45">
      <c r="B22" s="23" t="s">
        <v>22</v>
      </c>
      <c r="E22" s="29">
        <f>Scenarios!$G$41</f>
        <v>257.62967559602788</v>
      </c>
    </row>
    <row r="24" spans="1:9" x14ac:dyDescent="0.45">
      <c r="A24" s="14" t="s">
        <v>471</v>
      </c>
      <c r="B24" s="17" t="s">
        <v>23</v>
      </c>
      <c r="C24" s="28" t="s">
        <v>24</v>
      </c>
      <c r="D24" s="28" t="s">
        <v>25</v>
      </c>
      <c r="E24" s="28" t="s">
        <v>26</v>
      </c>
      <c r="F24" s="28" t="s">
        <v>27</v>
      </c>
      <c r="G24" s="28" t="s">
        <v>28</v>
      </c>
    </row>
    <row r="25" spans="1:9" x14ac:dyDescent="0.45">
      <c r="B25" s="23" t="s">
        <v>29</v>
      </c>
      <c r="C25" s="25">
        <f>RevBuild!D43</f>
        <v>62290.985249999998</v>
      </c>
      <c r="D25" s="25">
        <f>RevBuild!E43</f>
        <v>96765.786749999999</v>
      </c>
      <c r="E25" s="25">
        <f>RevBuild!F43</f>
        <v>139409</v>
      </c>
      <c r="F25" s="25">
        <f>RevBuild!G43</f>
        <v>188619.07</v>
      </c>
      <c r="G25" s="25">
        <f>RevBuild!H43</f>
        <v>241983.27749999997</v>
      </c>
    </row>
    <row r="26" spans="1:9" x14ac:dyDescent="0.45">
      <c r="B26" s="23" t="s">
        <v>30</v>
      </c>
      <c r="C26" s="25">
        <f>Model!D7</f>
        <v>20241.729667675001</v>
      </c>
      <c r="D26" s="25">
        <f>Model!E7</f>
        <v>54670.182091499999</v>
      </c>
      <c r="E26" s="25">
        <f>Model!F7</f>
        <v>95618.265000000014</v>
      </c>
      <c r="F26" s="25">
        <f>Model!G7</f>
        <v>134814.2028</v>
      </c>
      <c r="G26" s="25">
        <f>Model!H7</f>
        <v>177601.8700385</v>
      </c>
    </row>
    <row r="27" spans="1:9" x14ac:dyDescent="0.45">
      <c r="B27" s="23" t="s">
        <v>31</v>
      </c>
      <c r="C27" s="25">
        <f>Model!D20</f>
        <v>765.9493823250001</v>
      </c>
      <c r="D27" s="25">
        <f>Model!E20</f>
        <v>1152.5052794999999</v>
      </c>
      <c r="E27" s="25">
        <f>Model!F20</f>
        <v>3985.0551999999989</v>
      </c>
      <c r="F27" s="25">
        <f>Model!G20</f>
        <v>7655.4011599999994</v>
      </c>
      <c r="G27" s="25">
        <f>Model!H20</f>
        <v>12016.294100399999</v>
      </c>
    </row>
    <row r="28" spans="1:9" x14ac:dyDescent="0.45">
      <c r="B28" s="23" t="s">
        <v>32</v>
      </c>
      <c r="C28" s="34">
        <f>Model!D20/RevBuild!D43</f>
        <v>1.2296311886076647E-2</v>
      </c>
      <c r="D28" s="34">
        <f>Model!E20/RevBuild!E43</f>
        <v>1.1910255868404851E-2</v>
      </c>
      <c r="E28" s="34">
        <f>Model!F20/RevBuild!F43</f>
        <v>2.8585351017509621E-2</v>
      </c>
      <c r="F28" s="34">
        <f>Model!G20/RevBuild!G43</f>
        <v>4.0586570382305454E-2</v>
      </c>
      <c r="G28" s="34">
        <f>Model!H20/RevBuild!H43</f>
        <v>4.9657539250413697E-2</v>
      </c>
    </row>
    <row r="29" spans="1:9" x14ac:dyDescent="0.45">
      <c r="B29" s="23" t="s">
        <v>33</v>
      </c>
      <c r="C29" s="25">
        <f>Model!D26</f>
        <v>-225.19711767499996</v>
      </c>
      <c r="D29" s="25">
        <f>Model!E26</f>
        <v>-228.28574079000009</v>
      </c>
      <c r="E29" s="25">
        <f>Model!F26</f>
        <v>2740.7281946663993</v>
      </c>
      <c r="F29" s="25">
        <f>Model!G26</f>
        <v>6472.5324630397763</v>
      </c>
      <c r="G29" s="25">
        <f>Model!H26</f>
        <v>10833.328363411809</v>
      </c>
    </row>
    <row r="30" spans="1:9" x14ac:dyDescent="0.45">
      <c r="B30" s="23" t="s">
        <v>34</v>
      </c>
      <c r="C30" s="25">
        <f>Model!D31</f>
        <v>527.53897903770007</v>
      </c>
      <c r="D30" s="25">
        <f>Model!E31</f>
        <v>382.94396496984371</v>
      </c>
      <c r="E30" s="25">
        <f>Model!F31</f>
        <v>2561.0467709572285</v>
      </c>
      <c r="F30" s="25">
        <f>Model!G31</f>
        <v>5842.971603838304</v>
      </c>
      <c r="G30" s="25">
        <f>Model!H31</f>
        <v>9997.5863788555016</v>
      </c>
    </row>
    <row r="31" spans="1:9" x14ac:dyDescent="0.45">
      <c r="B31" s="23" t="s">
        <v>35</v>
      </c>
      <c r="C31" s="35">
        <f>Model!D33</f>
        <v>0.60063643292462721</v>
      </c>
      <c r="D31" s="35">
        <f>Model!E33</f>
        <v>0.39681667596145626</v>
      </c>
      <c r="E31" s="35">
        <f>Model!F33</f>
        <v>2.6538244745888551</v>
      </c>
      <c r="F31" s="35">
        <f>Model!G33</f>
        <v>6.0546418841066734</v>
      </c>
      <c r="G31" s="35">
        <f>Model!H33</f>
        <v>10.359763718452605</v>
      </c>
    </row>
    <row r="32" spans="1:9" x14ac:dyDescent="0.45">
      <c r="B32" s="23" t="s">
        <v>36</v>
      </c>
      <c r="C32" s="36">
        <f>(Assumptions!$D$8-Model!D94)/RevBuild!D43</f>
        <v>3.4927568399634521</v>
      </c>
      <c r="D32" s="36">
        <f>(Assumptions!$D$8-Model!E94)/RevBuild!E43</f>
        <v>2.226693704915391</v>
      </c>
      <c r="E32" s="36">
        <f>(Assumptions!$D$8-Model!F94)/RevBuild!F43</f>
        <v>1.527679424680471</v>
      </c>
      <c r="F32" s="36">
        <f>(Assumptions!$D$8-Model!G94)/RevBuild!G43</f>
        <v>1.0986170572568135</v>
      </c>
      <c r="G32" s="36">
        <f>(Assumptions!$D$8-Model!H94)/RevBuild!H43</f>
        <v>0.81410149300898504</v>
      </c>
    </row>
    <row r="34" spans="1:11" x14ac:dyDescent="0.45">
      <c r="A34" s="14" t="s">
        <v>471</v>
      </c>
      <c r="B34" s="17" t="s">
        <v>37</v>
      </c>
    </row>
    <row r="35" spans="1:11" x14ac:dyDescent="0.45">
      <c r="B35" s="19" t="s">
        <v>38</v>
      </c>
      <c r="C35" s="37">
        <f>Model!D56</f>
        <v>0</v>
      </c>
      <c r="D35" s="37">
        <f>Model!E56</f>
        <v>0</v>
      </c>
      <c r="E35" s="37">
        <f>Model!F56</f>
        <v>0</v>
      </c>
      <c r="F35" s="37">
        <f>Model!G56</f>
        <v>0</v>
      </c>
      <c r="G35" s="37">
        <f>Model!H56</f>
        <v>0</v>
      </c>
      <c r="H35" s="37">
        <f>Model!I56</f>
        <v>0</v>
      </c>
      <c r="I35" s="37">
        <f>Model!J56</f>
        <v>0</v>
      </c>
      <c r="J35" s="37">
        <f>Model!K56</f>
        <v>0</v>
      </c>
      <c r="K35" s="37">
        <f>Model!L56</f>
        <v>0</v>
      </c>
    </row>
    <row r="36" spans="1:11" x14ac:dyDescent="0.45">
      <c r="B36" s="19" t="s">
        <v>39</v>
      </c>
      <c r="C36" s="37">
        <f>RevBuild!D47</f>
        <v>-1.2703323249988898</v>
      </c>
    </row>
    <row r="37" spans="1:11" x14ac:dyDescent="0.45">
      <c r="B37" s="19" t="s">
        <v>40</v>
      </c>
      <c r="C37" s="37">
        <f>Historicals!H51</f>
        <v>-24.198581560282037</v>
      </c>
    </row>
    <row r="38" spans="1:11" x14ac:dyDescent="0.45">
      <c r="B38" s="19" t="s">
        <v>41</v>
      </c>
      <c r="C38" s="37">
        <f>Ratios!D21</f>
        <v>0</v>
      </c>
      <c r="D38" s="37">
        <f>Ratios!E21</f>
        <v>0</v>
      </c>
      <c r="E38" s="37">
        <f>Ratios!F21</f>
        <v>0</v>
      </c>
      <c r="F38" s="37">
        <f>Ratios!G21</f>
        <v>0</v>
      </c>
      <c r="G38" s="37">
        <f>Ratios!H21</f>
        <v>0</v>
      </c>
      <c r="H38" s="37">
        <f>Ratios!I21</f>
        <v>0</v>
      </c>
      <c r="I38" s="37">
        <f>Ratios!J21</f>
        <v>0</v>
      </c>
      <c r="J38" s="37">
        <f>Ratios!K21</f>
        <v>0</v>
      </c>
      <c r="K38" s="37">
        <f>Ratios!L21</f>
        <v>0</v>
      </c>
    </row>
    <row r="39" spans="1:11" x14ac:dyDescent="0.45">
      <c r="B39" s="19" t="s">
        <v>42</v>
      </c>
      <c r="D39" s="37">
        <f>Model!E64-Model!E54</f>
        <v>0</v>
      </c>
      <c r="E39" s="37">
        <f>Model!F64-Model!F54</f>
        <v>0</v>
      </c>
      <c r="F39" s="37">
        <f>Model!G64-Model!G54</f>
        <v>0</v>
      </c>
      <c r="G39" s="37">
        <f>Model!H64-Model!H54</f>
        <v>0</v>
      </c>
      <c r="H39" s="37">
        <f>Model!I64-Model!I54</f>
        <v>0</v>
      </c>
      <c r="I39" s="37">
        <f>Model!J64-Model!J54</f>
        <v>0</v>
      </c>
      <c r="J39" s="37">
        <f>Model!K64-Model!K54</f>
        <v>0</v>
      </c>
      <c r="K39" s="37">
        <f>Model!L64-Model!L54</f>
        <v>0</v>
      </c>
    </row>
    <row r="40" spans="1:11" x14ac:dyDescent="0.45">
      <c r="B40" s="19" t="s">
        <v>43</v>
      </c>
      <c r="C40" s="38">
        <f>Scenarios!$F$42</f>
        <v>1</v>
      </c>
    </row>
    <row r="41" spans="1:11" x14ac:dyDescent="0.45">
      <c r="B41" s="19" t="s">
        <v>44</v>
      </c>
      <c r="C41" s="37">
        <f>Model!E36-Assumptions!$D$11</f>
        <v>5781.4965925898614</v>
      </c>
    </row>
    <row r="42" spans="1:11" x14ac:dyDescent="0.45">
      <c r="B42" s="19" t="s">
        <v>45</v>
      </c>
      <c r="C42" s="37">
        <f>Historicals!C82</f>
        <v>0</v>
      </c>
      <c r="D42" s="37">
        <f>Historicals!D82</f>
        <v>1</v>
      </c>
      <c r="E42" s="37">
        <f>Historicals!E82</f>
        <v>0</v>
      </c>
      <c r="F42" s="37">
        <f>Historicals!F82</f>
        <v>0</v>
      </c>
      <c r="G42" s="37">
        <f>Historicals!G82</f>
        <v>0</v>
      </c>
    </row>
    <row r="43" spans="1:11" x14ac:dyDescent="0.45">
      <c r="B43" s="39"/>
    </row>
    <row r="44" spans="1:11" x14ac:dyDescent="0.45">
      <c r="B44" s="39"/>
    </row>
    <row r="46" spans="1:11" x14ac:dyDescent="0.45">
      <c r="B46" s="40"/>
    </row>
    <row r="47" spans="1:11" x14ac:dyDescent="0.45">
      <c r="B47" s="23"/>
    </row>
    <row r="48" spans="1:11" x14ac:dyDescent="0.45">
      <c r="B48" s="23"/>
    </row>
    <row r="49" spans="2:2" x14ac:dyDescent="0.45">
      <c r="B49" s="23"/>
    </row>
    <row r="50" spans="2:2" x14ac:dyDescent="0.45">
      <c r="B50" s="23"/>
    </row>
    <row r="51" spans="2:2" x14ac:dyDescent="0.45">
      <c r="B51" s="23"/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937"/>
    <pageSetUpPr fitToPage="1"/>
  </sheetPr>
  <dimension ref="A1:L61"/>
  <sheetViews>
    <sheetView showGridLines="0" zoomScaleNormal="100"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O7" sqref="O7"/>
    </sheetView>
  </sheetViews>
  <sheetFormatPr defaultColWidth="8.6640625" defaultRowHeight="14.25" x14ac:dyDescent="0.45"/>
  <cols>
    <col min="1" max="1" width="3.06640625" style="72" customWidth="1"/>
    <col min="2" max="2" width="56" style="72" customWidth="1"/>
    <col min="3" max="3" width="11" style="72" customWidth="1"/>
    <col min="4" max="12" width="13" style="72" customWidth="1"/>
    <col min="13" max="16384" width="8.6640625" style="72"/>
  </cols>
  <sheetData>
    <row r="1" spans="1:12" ht="15" customHeight="1" x14ac:dyDescent="0.45">
      <c r="B1" s="73"/>
    </row>
    <row r="2" spans="1:12" ht="19.5" customHeight="1" x14ac:dyDescent="0.45">
      <c r="B2" s="15" t="s">
        <v>46</v>
      </c>
    </row>
    <row r="4" spans="1:12" ht="15" customHeight="1" x14ac:dyDescent="0.45">
      <c r="A4" s="72" t="s">
        <v>471</v>
      </c>
      <c r="B4" s="17" t="s">
        <v>47</v>
      </c>
      <c r="C4" s="28" t="s">
        <v>48</v>
      </c>
      <c r="D4" s="28" t="s">
        <v>24</v>
      </c>
      <c r="E4" s="28" t="s">
        <v>25</v>
      </c>
      <c r="F4" s="28" t="s">
        <v>26</v>
      </c>
      <c r="G4" s="28" t="s">
        <v>27</v>
      </c>
      <c r="H4" s="28" t="s">
        <v>28</v>
      </c>
      <c r="I4" s="28" t="s">
        <v>49</v>
      </c>
      <c r="J4" s="28" t="s">
        <v>50</v>
      </c>
      <c r="K4" s="28" t="s">
        <v>51</v>
      </c>
      <c r="L4" s="28" t="s">
        <v>52</v>
      </c>
    </row>
    <row r="5" spans="1:12" ht="15" customHeight="1" x14ac:dyDescent="0.45">
      <c r="B5" s="40" t="s">
        <v>53</v>
      </c>
    </row>
    <row r="6" spans="1:12" ht="15" customHeight="1" x14ac:dyDescent="0.45">
      <c r="B6" s="23" t="s">
        <v>54</v>
      </c>
      <c r="C6" s="74" t="s">
        <v>55</v>
      </c>
      <c r="D6" s="75">
        <v>242.87</v>
      </c>
    </row>
    <row r="7" spans="1:12" ht="15" customHeight="1" x14ac:dyDescent="0.45">
      <c r="B7" s="23" t="s">
        <v>56</v>
      </c>
      <c r="C7" s="74" t="s">
        <v>57</v>
      </c>
      <c r="D7" s="76">
        <v>965.04</v>
      </c>
    </row>
    <row r="8" spans="1:12" ht="15" customHeight="1" x14ac:dyDescent="0.45">
      <c r="B8" s="23" t="s">
        <v>58</v>
      </c>
      <c r="C8" s="74" t="s">
        <v>59</v>
      </c>
      <c r="D8" s="77">
        <f>$D$6*$D$7</f>
        <v>234379.2648</v>
      </c>
    </row>
    <row r="9" spans="1:12" ht="15" customHeight="1" x14ac:dyDescent="0.45">
      <c r="B9" s="23" t="s">
        <v>60</v>
      </c>
      <c r="C9" s="74" t="s">
        <v>55</v>
      </c>
      <c r="D9" s="78" t="s">
        <v>61</v>
      </c>
    </row>
    <row r="10" spans="1:12" ht="15" customHeight="1" x14ac:dyDescent="0.45">
      <c r="B10" s="23" t="s">
        <v>5</v>
      </c>
      <c r="C10" s="74" t="s">
        <v>55</v>
      </c>
      <c r="D10" s="29">
        <f>Summary!$C$7</f>
        <v>304</v>
      </c>
    </row>
    <row r="11" spans="1:12" ht="15" customHeight="1" x14ac:dyDescent="0.45">
      <c r="B11" s="23" t="s">
        <v>62</v>
      </c>
      <c r="C11" s="74" t="s">
        <v>59</v>
      </c>
      <c r="D11" s="79">
        <v>17820</v>
      </c>
    </row>
    <row r="13" spans="1:12" ht="15" customHeight="1" x14ac:dyDescent="0.45">
      <c r="A13" s="72" t="s">
        <v>471</v>
      </c>
      <c r="B13" s="40" t="s">
        <v>491</v>
      </c>
    </row>
    <row r="14" spans="1:12" ht="15" customHeight="1" x14ac:dyDescent="0.45">
      <c r="B14" s="23" t="s">
        <v>63</v>
      </c>
      <c r="C14" s="74" t="s">
        <v>64</v>
      </c>
      <c r="D14" s="80">
        <v>1301</v>
      </c>
      <c r="E14" s="80">
        <v>2300</v>
      </c>
      <c r="F14" s="80">
        <v>3300</v>
      </c>
      <c r="G14" s="80">
        <v>4300</v>
      </c>
      <c r="H14" s="80">
        <v>5200</v>
      </c>
      <c r="I14" s="80">
        <v>6000</v>
      </c>
      <c r="J14" s="80">
        <v>6700</v>
      </c>
      <c r="K14" s="80">
        <v>7300</v>
      </c>
      <c r="L14" s="80">
        <v>7800</v>
      </c>
    </row>
    <row r="15" spans="1:12" ht="15" customHeight="1" x14ac:dyDescent="0.45">
      <c r="B15" s="23" t="s">
        <v>65</v>
      </c>
      <c r="C15" s="74" t="s">
        <v>66</v>
      </c>
      <c r="D15" s="81">
        <v>6.71</v>
      </c>
      <c r="E15" s="81">
        <v>7.39</v>
      </c>
      <c r="F15" s="81">
        <v>7.9</v>
      </c>
      <c r="G15" s="81">
        <v>8.5</v>
      </c>
      <c r="H15" s="81">
        <v>9.15</v>
      </c>
      <c r="I15" s="81">
        <v>9.8000000000000007</v>
      </c>
      <c r="J15" s="81">
        <v>10.4</v>
      </c>
      <c r="K15" s="81">
        <v>10.95</v>
      </c>
      <c r="L15" s="81">
        <v>11.45</v>
      </c>
    </row>
    <row r="16" spans="1:12" ht="15" customHeight="1" x14ac:dyDescent="0.45">
      <c r="B16" s="23" t="s">
        <v>67</v>
      </c>
      <c r="C16" s="74" t="s">
        <v>68</v>
      </c>
      <c r="D16" s="24">
        <v>0.23269999999999999</v>
      </c>
      <c r="E16" s="24">
        <v>0.77800000000000002</v>
      </c>
      <c r="F16" s="24">
        <v>0.92</v>
      </c>
      <c r="G16" s="24">
        <v>0.92</v>
      </c>
      <c r="H16" s="24">
        <v>0.92</v>
      </c>
      <c r="I16" s="24">
        <v>0.92</v>
      </c>
      <c r="J16" s="24">
        <v>0.92</v>
      </c>
      <c r="K16" s="24">
        <v>0.92</v>
      </c>
      <c r="L16" s="24">
        <v>0.92</v>
      </c>
    </row>
    <row r="17" spans="1:12" ht="15" customHeight="1" x14ac:dyDescent="0.45">
      <c r="B17" s="23" t="s">
        <v>69</v>
      </c>
      <c r="C17" s="74" t="s">
        <v>68</v>
      </c>
      <c r="D17" s="30">
        <v>-3.27E-2</v>
      </c>
      <c r="E17" s="30">
        <v>-6.0000000000000001E-3</v>
      </c>
      <c r="F17" s="30">
        <v>0.02</v>
      </c>
      <c r="G17" s="30">
        <v>3.4000000000000002E-2</v>
      </c>
      <c r="H17" s="30">
        <v>4.3999999999999997E-2</v>
      </c>
      <c r="I17" s="30">
        <v>5.0999999999999997E-2</v>
      </c>
      <c r="J17" s="30">
        <v>5.5E-2</v>
      </c>
      <c r="K17" s="30">
        <v>5.8000000000000003E-2</v>
      </c>
      <c r="L17" s="30">
        <v>0.06</v>
      </c>
    </row>
    <row r="19" spans="1:12" ht="15" customHeight="1" x14ac:dyDescent="0.45">
      <c r="A19" s="72" t="s">
        <v>471</v>
      </c>
      <c r="B19" s="40" t="s">
        <v>70</v>
      </c>
    </row>
    <row r="20" spans="1:12" ht="15" customHeight="1" x14ac:dyDescent="0.45">
      <c r="B20" s="23" t="s">
        <v>71</v>
      </c>
      <c r="C20" s="74" t="s">
        <v>59</v>
      </c>
      <c r="D20" s="79">
        <v>33300</v>
      </c>
      <c r="E20" s="79">
        <v>38300</v>
      </c>
    </row>
    <row r="21" spans="1:12" ht="15" customHeight="1" x14ac:dyDescent="0.45">
      <c r="B21" s="23" t="s">
        <v>72</v>
      </c>
      <c r="C21" s="74" t="s">
        <v>68</v>
      </c>
      <c r="F21" s="30">
        <v>0.17</v>
      </c>
      <c r="G21" s="30">
        <v>0.17</v>
      </c>
      <c r="H21" s="30">
        <v>0.15</v>
      </c>
      <c r="I21" s="30">
        <v>0.13</v>
      </c>
      <c r="J21" s="30">
        <v>0.11</v>
      </c>
      <c r="K21" s="30">
        <v>0.1</v>
      </c>
      <c r="L21" s="30">
        <v>0.09</v>
      </c>
    </row>
    <row r="22" spans="1:12" ht="15" customHeight="1" x14ac:dyDescent="0.45">
      <c r="B22" s="23" t="s">
        <v>67</v>
      </c>
      <c r="C22" s="74" t="s">
        <v>68</v>
      </c>
      <c r="D22" s="24">
        <v>0.24259</v>
      </c>
      <c r="E22" s="24">
        <v>0.26500000000000001</v>
      </c>
      <c r="F22" s="24">
        <v>0.27500000000000002</v>
      </c>
      <c r="G22" s="24">
        <v>0.28000000000000003</v>
      </c>
      <c r="H22" s="24">
        <v>0.28499999999999998</v>
      </c>
      <c r="I22" s="24">
        <v>0.28999999999999998</v>
      </c>
      <c r="J22" s="24">
        <v>0.28999999999999998</v>
      </c>
      <c r="K22" s="24">
        <v>0.28999999999999998</v>
      </c>
      <c r="L22" s="24">
        <v>0.28999999999999998</v>
      </c>
    </row>
    <row r="23" spans="1:12" ht="15" customHeight="1" x14ac:dyDescent="0.45">
      <c r="B23" s="23" t="s">
        <v>69</v>
      </c>
      <c r="C23" s="74" t="s">
        <v>68</v>
      </c>
      <c r="D23" s="30">
        <v>4.8000000000000001E-2</v>
      </c>
      <c r="E23" s="30">
        <v>5.2999999999999999E-2</v>
      </c>
      <c r="F23" s="30">
        <v>5.8999999999999997E-2</v>
      </c>
      <c r="G23" s="30">
        <v>6.4000000000000001E-2</v>
      </c>
      <c r="H23" s="30">
        <v>6.8000000000000005E-2</v>
      </c>
      <c r="I23" s="30">
        <v>7.0999999999999994E-2</v>
      </c>
      <c r="J23" s="30">
        <v>7.2999999999999995E-2</v>
      </c>
      <c r="K23" s="30">
        <v>7.3999999999999996E-2</v>
      </c>
      <c r="L23" s="30">
        <v>7.4999999999999997E-2</v>
      </c>
    </row>
    <row r="25" spans="1:12" ht="15" customHeight="1" x14ac:dyDescent="0.45">
      <c r="A25" s="72" t="s">
        <v>471</v>
      </c>
      <c r="B25" s="40" t="s">
        <v>73</v>
      </c>
    </row>
    <row r="26" spans="1:12" ht="15" customHeight="1" x14ac:dyDescent="0.45">
      <c r="B26" s="23" t="s">
        <v>74</v>
      </c>
      <c r="C26" s="74" t="s">
        <v>59</v>
      </c>
      <c r="D26" s="79">
        <v>6618</v>
      </c>
      <c r="E26" s="79">
        <v>9900</v>
      </c>
    </row>
    <row r="27" spans="1:12" ht="15" customHeight="1" x14ac:dyDescent="0.45">
      <c r="B27" s="23" t="s">
        <v>75</v>
      </c>
      <c r="C27" s="74" t="s">
        <v>68</v>
      </c>
      <c r="F27" s="24">
        <v>0.4</v>
      </c>
      <c r="G27" s="24">
        <v>0.32</v>
      </c>
      <c r="H27" s="24">
        <v>0.26</v>
      </c>
      <c r="I27" s="24">
        <v>0.22</v>
      </c>
      <c r="J27" s="24">
        <v>0.18</v>
      </c>
      <c r="K27" s="24">
        <v>0.15</v>
      </c>
      <c r="L27" s="24">
        <v>0.12</v>
      </c>
    </row>
    <row r="28" spans="1:12" ht="15" customHeight="1" x14ac:dyDescent="0.45">
      <c r="B28" s="23" t="s">
        <v>76</v>
      </c>
      <c r="C28" s="74" t="s">
        <v>68</v>
      </c>
      <c r="D28" s="24">
        <v>0.1105</v>
      </c>
      <c r="E28" s="24">
        <v>0.115</v>
      </c>
      <c r="F28" s="24">
        <v>0.12</v>
      </c>
      <c r="G28" s="24">
        <v>0.125</v>
      </c>
      <c r="H28" s="24">
        <v>0.128</v>
      </c>
      <c r="I28" s="24">
        <v>0.13</v>
      </c>
      <c r="J28" s="24">
        <v>0.13</v>
      </c>
      <c r="K28" s="24">
        <v>0.13</v>
      </c>
      <c r="L28" s="24">
        <v>0.13</v>
      </c>
    </row>
    <row r="29" spans="1:12" ht="15" customHeight="1" x14ac:dyDescent="0.45">
      <c r="B29" s="23" t="s">
        <v>77</v>
      </c>
      <c r="C29" s="74" t="s">
        <v>68</v>
      </c>
      <c r="D29" s="30">
        <v>-5.0000000000000001E-3</v>
      </c>
      <c r="E29" s="30">
        <v>-0.04</v>
      </c>
      <c r="F29" s="30">
        <v>-0.01</v>
      </c>
      <c r="G29" s="30">
        <v>1.4999999999999999E-2</v>
      </c>
      <c r="H29" s="30">
        <v>0.03</v>
      </c>
      <c r="I29" s="30">
        <v>0.05</v>
      </c>
      <c r="J29" s="30">
        <v>5.5E-2</v>
      </c>
      <c r="K29" s="30">
        <v>0.06</v>
      </c>
      <c r="L29" s="30">
        <v>0.06</v>
      </c>
    </row>
    <row r="30" spans="1:12" ht="15" customHeight="1" x14ac:dyDescent="0.45">
      <c r="B30" s="23" t="s">
        <v>78</v>
      </c>
      <c r="C30" s="74" t="s">
        <v>59</v>
      </c>
      <c r="D30" s="79">
        <v>6196</v>
      </c>
      <c r="E30" s="79">
        <v>5558</v>
      </c>
    </row>
    <row r="31" spans="1:12" ht="15" customHeight="1" x14ac:dyDescent="0.45">
      <c r="B31" s="23" t="s">
        <v>79</v>
      </c>
      <c r="C31" s="74" t="s">
        <v>68</v>
      </c>
      <c r="F31" s="24">
        <v>0.26</v>
      </c>
      <c r="G31" s="24">
        <v>0.24</v>
      </c>
      <c r="H31" s="24">
        <v>0.2</v>
      </c>
      <c r="I31" s="24">
        <v>0.17</v>
      </c>
      <c r="J31" s="24">
        <v>0.14000000000000001</v>
      </c>
      <c r="K31" s="24">
        <v>0.11</v>
      </c>
      <c r="L31" s="24">
        <v>0.09</v>
      </c>
    </row>
    <row r="32" spans="1:12" ht="15" customHeight="1" x14ac:dyDescent="0.45">
      <c r="B32" s="23" t="s">
        <v>80</v>
      </c>
      <c r="C32" s="74" t="s">
        <v>68</v>
      </c>
      <c r="D32" s="24">
        <v>-8.9999999999999993E-3</v>
      </c>
      <c r="E32" s="24">
        <v>0</v>
      </c>
      <c r="F32" s="24">
        <v>1.4999999999999999E-2</v>
      </c>
      <c r="G32" s="24">
        <v>2.5000000000000001E-2</v>
      </c>
      <c r="H32" s="24">
        <v>3.5000000000000003E-2</v>
      </c>
      <c r="I32" s="24">
        <v>0.04</v>
      </c>
      <c r="J32" s="24">
        <v>4.4999999999999998E-2</v>
      </c>
      <c r="K32" s="24">
        <v>4.4999999999999998E-2</v>
      </c>
      <c r="L32" s="24">
        <v>4.4999999999999998E-2</v>
      </c>
    </row>
    <row r="33" spans="1:12" ht="15" customHeight="1" x14ac:dyDescent="0.45">
      <c r="B33" s="23" t="s">
        <v>81</v>
      </c>
      <c r="C33" s="74" t="s">
        <v>59</v>
      </c>
      <c r="D33" s="79">
        <v>30</v>
      </c>
      <c r="E33" s="79">
        <v>40</v>
      </c>
      <c r="F33" s="79">
        <v>350</v>
      </c>
      <c r="G33" s="79">
        <v>700</v>
      </c>
      <c r="H33" s="79">
        <v>1100</v>
      </c>
      <c r="I33" s="79">
        <v>1500</v>
      </c>
      <c r="J33" s="79">
        <v>1900</v>
      </c>
      <c r="K33" s="79">
        <v>2200</v>
      </c>
      <c r="L33" s="79">
        <v>2500</v>
      </c>
    </row>
    <row r="34" spans="1:12" ht="15" customHeight="1" x14ac:dyDescent="0.45">
      <c r="B34" s="23" t="s">
        <v>82</v>
      </c>
      <c r="C34" s="74" t="s">
        <v>59</v>
      </c>
      <c r="D34" s="79">
        <v>-12</v>
      </c>
      <c r="E34" s="79">
        <v>-190</v>
      </c>
      <c r="F34" s="79">
        <v>-240</v>
      </c>
      <c r="G34" s="79">
        <v>-200</v>
      </c>
      <c r="H34" s="79">
        <v>-120</v>
      </c>
      <c r="I34" s="79">
        <v>-50</v>
      </c>
      <c r="J34" s="79">
        <v>0</v>
      </c>
      <c r="K34" s="79">
        <v>50</v>
      </c>
      <c r="L34" s="79">
        <v>100</v>
      </c>
    </row>
    <row r="36" spans="1:12" ht="15" customHeight="1" x14ac:dyDescent="0.45">
      <c r="A36" s="72" t="s">
        <v>471</v>
      </c>
      <c r="B36" s="40" t="s">
        <v>83</v>
      </c>
    </row>
    <row r="37" spans="1:12" ht="15" customHeight="1" x14ac:dyDescent="0.45">
      <c r="B37" s="23" t="s">
        <v>84</v>
      </c>
      <c r="C37" s="74" t="s">
        <v>59</v>
      </c>
      <c r="D37" s="79">
        <v>698</v>
      </c>
      <c r="E37" s="79">
        <v>810</v>
      </c>
      <c r="F37" s="79">
        <v>860</v>
      </c>
      <c r="G37" s="79">
        <v>910</v>
      </c>
      <c r="H37" s="79">
        <v>960</v>
      </c>
      <c r="I37" s="79">
        <v>1010</v>
      </c>
      <c r="J37" s="79">
        <v>1060</v>
      </c>
      <c r="K37" s="79">
        <v>1110</v>
      </c>
      <c r="L37" s="79">
        <v>1160</v>
      </c>
    </row>
    <row r="38" spans="1:12" ht="15" customHeight="1" x14ac:dyDescent="0.45">
      <c r="B38" s="23" t="s">
        <v>85</v>
      </c>
      <c r="C38" s="74" t="s">
        <v>59</v>
      </c>
      <c r="D38" s="82">
        <v>0.441</v>
      </c>
      <c r="E38" s="82">
        <v>0.45900000000000002</v>
      </c>
      <c r="F38" s="82">
        <v>0.47699999999999998</v>
      </c>
      <c r="G38" s="82">
        <v>0.496</v>
      </c>
      <c r="H38" s="82">
        <v>0.51600000000000001</v>
      </c>
      <c r="I38" s="82">
        <v>0.53700000000000003</v>
      </c>
      <c r="J38" s="82">
        <v>0.55800000000000005</v>
      </c>
      <c r="K38" s="82">
        <v>0.58099999999999996</v>
      </c>
      <c r="L38" s="82">
        <v>0.60399999999999998</v>
      </c>
    </row>
    <row r="39" spans="1:12" ht="15" customHeight="1" x14ac:dyDescent="0.45">
      <c r="B39" s="23" t="s">
        <v>86</v>
      </c>
      <c r="C39" s="74" t="s">
        <v>59</v>
      </c>
      <c r="D39" s="79">
        <v>167</v>
      </c>
      <c r="E39" s="79">
        <v>188</v>
      </c>
      <c r="F39" s="79">
        <v>195</v>
      </c>
      <c r="G39" s="79">
        <v>211</v>
      </c>
      <c r="H39" s="79">
        <v>228</v>
      </c>
      <c r="I39" s="79">
        <v>246</v>
      </c>
      <c r="J39" s="79">
        <v>266</v>
      </c>
      <c r="K39" s="79">
        <v>287</v>
      </c>
      <c r="L39" s="79">
        <v>310</v>
      </c>
    </row>
    <row r="40" spans="1:12" ht="15" customHeight="1" x14ac:dyDescent="0.45">
      <c r="B40" s="23" t="s">
        <v>87</v>
      </c>
      <c r="C40" s="74" t="s">
        <v>59</v>
      </c>
      <c r="D40" s="81">
        <v>1.05</v>
      </c>
      <c r="E40" s="81">
        <v>1.72</v>
      </c>
      <c r="F40" s="81">
        <v>1.85</v>
      </c>
      <c r="G40" s="81">
        <v>1.85</v>
      </c>
      <c r="H40" s="81">
        <v>1.85</v>
      </c>
      <c r="I40" s="81">
        <v>1.85</v>
      </c>
      <c r="J40" s="81">
        <v>1.85</v>
      </c>
      <c r="K40" s="81">
        <v>1.85</v>
      </c>
      <c r="L40" s="81">
        <v>1.85</v>
      </c>
    </row>
    <row r="41" spans="1:12" ht="15" customHeight="1" x14ac:dyDescent="0.45">
      <c r="B41" s="23" t="s">
        <v>88</v>
      </c>
      <c r="C41" s="74" t="s">
        <v>59</v>
      </c>
      <c r="D41" s="79">
        <v>680</v>
      </c>
      <c r="E41" s="79">
        <v>734</v>
      </c>
      <c r="F41" s="79">
        <v>793</v>
      </c>
      <c r="G41" s="79">
        <v>856</v>
      </c>
      <c r="H41" s="79">
        <v>925</v>
      </c>
      <c r="I41" s="79">
        <v>999</v>
      </c>
      <c r="J41" s="79">
        <v>1079</v>
      </c>
      <c r="K41" s="79">
        <v>1165</v>
      </c>
      <c r="L41" s="79">
        <v>1258</v>
      </c>
    </row>
    <row r="42" spans="1:12" ht="15" customHeight="1" x14ac:dyDescent="0.45">
      <c r="B42" s="23" t="s">
        <v>89</v>
      </c>
      <c r="C42" s="74" t="s">
        <v>68</v>
      </c>
      <c r="D42" s="24">
        <v>0.11</v>
      </c>
      <c r="E42" s="24">
        <v>0.11</v>
      </c>
      <c r="F42" s="24">
        <v>0.11</v>
      </c>
      <c r="G42" s="24">
        <v>0.11</v>
      </c>
      <c r="H42" s="24">
        <v>0.11</v>
      </c>
      <c r="I42" s="24">
        <v>0.11</v>
      </c>
      <c r="J42" s="24">
        <v>0.11</v>
      </c>
      <c r="K42" s="24">
        <v>0.11</v>
      </c>
      <c r="L42" s="24">
        <v>0.11</v>
      </c>
    </row>
    <row r="43" spans="1:12" ht="15" customHeight="1" x14ac:dyDescent="0.45">
      <c r="B43" s="23" t="s">
        <v>90</v>
      </c>
      <c r="C43" s="74" t="s">
        <v>59</v>
      </c>
      <c r="D43" s="81">
        <v>0.71</v>
      </c>
      <c r="E43" s="81">
        <v>0.75</v>
      </c>
      <c r="F43" s="81">
        <v>0.8</v>
      </c>
      <c r="G43" s="81">
        <v>0.84</v>
      </c>
      <c r="H43" s="81">
        <v>0.89</v>
      </c>
      <c r="I43" s="81">
        <v>0.95</v>
      </c>
      <c r="J43" s="81">
        <v>1</v>
      </c>
      <c r="K43" s="81">
        <v>1.06</v>
      </c>
      <c r="L43" s="81">
        <v>1.1299999999999999</v>
      </c>
    </row>
    <row r="44" spans="1:12" ht="15" customHeight="1" x14ac:dyDescent="0.45">
      <c r="B44" s="23" t="s">
        <v>91</v>
      </c>
      <c r="C44" s="74" t="s">
        <v>68</v>
      </c>
      <c r="D44" s="24">
        <v>3.5000000000000001E-3</v>
      </c>
      <c r="E44" s="24">
        <v>3.5000000000000001E-3</v>
      </c>
      <c r="F44" s="24">
        <v>3.5000000000000001E-3</v>
      </c>
      <c r="G44" s="24">
        <v>3.5000000000000001E-3</v>
      </c>
      <c r="H44" s="24">
        <v>3.5000000000000001E-3</v>
      </c>
      <c r="I44" s="24">
        <v>3.5000000000000001E-3</v>
      </c>
      <c r="J44" s="24">
        <v>3.5000000000000001E-3</v>
      </c>
      <c r="K44" s="24">
        <v>3.5000000000000001E-3</v>
      </c>
      <c r="L44" s="24">
        <v>3.5000000000000001E-3</v>
      </c>
    </row>
    <row r="45" spans="1:12" ht="15" customHeight="1" x14ac:dyDescent="0.45">
      <c r="B45" s="23" t="s">
        <v>92</v>
      </c>
      <c r="C45" s="74" t="s">
        <v>68</v>
      </c>
      <c r="D45" s="24">
        <v>0.02</v>
      </c>
      <c r="E45" s="24">
        <v>0.02</v>
      </c>
      <c r="F45" s="24">
        <v>0.02</v>
      </c>
      <c r="G45" s="24">
        <v>0.02</v>
      </c>
      <c r="H45" s="24">
        <v>0.02</v>
      </c>
      <c r="I45" s="24">
        <v>0.02</v>
      </c>
      <c r="J45" s="24">
        <v>0.02</v>
      </c>
      <c r="K45" s="24">
        <v>0.02</v>
      </c>
      <c r="L45" s="24">
        <v>0.02</v>
      </c>
    </row>
    <row r="46" spans="1:12" ht="15" customHeight="1" x14ac:dyDescent="0.45">
      <c r="B46" s="23" t="s">
        <v>93</v>
      </c>
      <c r="C46" s="74" t="s">
        <v>68</v>
      </c>
      <c r="D46" s="24">
        <v>0.16</v>
      </c>
      <c r="E46" s="24">
        <v>0.16</v>
      </c>
      <c r="F46" s="24">
        <v>0.16</v>
      </c>
      <c r="G46" s="24">
        <v>0.16</v>
      </c>
      <c r="H46" s="24">
        <v>0.16</v>
      </c>
      <c r="I46" s="24">
        <v>0.16</v>
      </c>
      <c r="J46" s="24">
        <v>0.16</v>
      </c>
      <c r="K46" s="24">
        <v>0.16</v>
      </c>
      <c r="L46" s="24">
        <v>0.16</v>
      </c>
    </row>
    <row r="47" spans="1:12" ht="15" customHeight="1" x14ac:dyDescent="0.45">
      <c r="B47" s="23" t="s">
        <v>94</v>
      </c>
      <c r="C47" s="74" t="s">
        <v>59</v>
      </c>
      <c r="D47" s="79">
        <v>250</v>
      </c>
      <c r="E47" s="79">
        <v>260</v>
      </c>
      <c r="F47" s="79">
        <v>230</v>
      </c>
      <c r="G47" s="79">
        <v>200</v>
      </c>
      <c r="H47" s="79">
        <v>180</v>
      </c>
      <c r="I47" s="79">
        <v>165</v>
      </c>
      <c r="J47" s="79">
        <v>155</v>
      </c>
      <c r="K47" s="79">
        <v>150</v>
      </c>
      <c r="L47" s="79">
        <v>150</v>
      </c>
    </row>
    <row r="48" spans="1:12" ht="15" customHeight="1" x14ac:dyDescent="0.45">
      <c r="B48" s="23" t="s">
        <v>95</v>
      </c>
      <c r="C48" s="74" t="s">
        <v>68</v>
      </c>
      <c r="D48" s="30">
        <v>0</v>
      </c>
      <c r="E48" s="30">
        <v>0.70399999999999996</v>
      </c>
      <c r="F48" s="30">
        <v>0.78300000000000003</v>
      </c>
      <c r="G48" s="30">
        <v>0.78300000000000003</v>
      </c>
      <c r="H48" s="30">
        <v>0.78300000000000003</v>
      </c>
      <c r="I48" s="30">
        <v>0.78300000000000003</v>
      </c>
      <c r="J48" s="30">
        <v>0.78300000000000003</v>
      </c>
      <c r="K48" s="30">
        <v>0.78300000000000003</v>
      </c>
      <c r="L48" s="30">
        <v>0.78300000000000003</v>
      </c>
    </row>
    <row r="49" spans="1:12" ht="15" customHeight="1" x14ac:dyDescent="0.45">
      <c r="B49" s="23" t="s">
        <v>96</v>
      </c>
      <c r="C49" s="74" t="s">
        <v>68</v>
      </c>
      <c r="D49" s="24">
        <v>0.88</v>
      </c>
      <c r="E49" s="24">
        <v>0.88</v>
      </c>
      <c r="F49" s="24">
        <v>0.88</v>
      </c>
      <c r="G49" s="24">
        <v>0.88</v>
      </c>
      <c r="H49" s="24">
        <v>0.88</v>
      </c>
      <c r="I49" s="24">
        <v>0.88</v>
      </c>
      <c r="J49" s="24">
        <v>0.88</v>
      </c>
      <c r="K49" s="24">
        <v>0.88</v>
      </c>
      <c r="L49" s="24">
        <v>0.88</v>
      </c>
    </row>
    <row r="50" spans="1:12" ht="15" customHeight="1" x14ac:dyDescent="0.45">
      <c r="B50" s="23" t="s">
        <v>97</v>
      </c>
      <c r="C50" s="74" t="s">
        <v>98</v>
      </c>
      <c r="D50" s="83">
        <v>14</v>
      </c>
      <c r="E50" s="83">
        <v>14</v>
      </c>
      <c r="F50" s="83">
        <v>14</v>
      </c>
      <c r="G50" s="83">
        <v>14</v>
      </c>
      <c r="H50" s="83">
        <v>14</v>
      </c>
      <c r="I50" s="83">
        <v>14</v>
      </c>
      <c r="J50" s="83">
        <v>14</v>
      </c>
      <c r="K50" s="83">
        <v>14</v>
      </c>
      <c r="L50" s="83">
        <v>14</v>
      </c>
    </row>
    <row r="51" spans="1:12" ht="15" customHeight="1" x14ac:dyDescent="0.45">
      <c r="B51" s="23" t="s">
        <v>99</v>
      </c>
      <c r="C51" s="74" t="s">
        <v>98</v>
      </c>
      <c r="D51" s="83">
        <v>30</v>
      </c>
      <c r="E51" s="83">
        <v>30</v>
      </c>
      <c r="F51" s="83">
        <v>30</v>
      </c>
      <c r="G51" s="83">
        <v>30</v>
      </c>
      <c r="H51" s="83">
        <v>30</v>
      </c>
      <c r="I51" s="83">
        <v>30</v>
      </c>
      <c r="J51" s="83">
        <v>30</v>
      </c>
      <c r="K51" s="83">
        <v>30</v>
      </c>
      <c r="L51" s="83">
        <v>30</v>
      </c>
    </row>
    <row r="52" spans="1:12" ht="15" customHeight="1" x14ac:dyDescent="0.45">
      <c r="B52" s="23" t="s">
        <v>100</v>
      </c>
      <c r="C52" s="74" t="s">
        <v>98</v>
      </c>
      <c r="D52" s="76">
        <v>8</v>
      </c>
      <c r="E52" s="76">
        <v>8</v>
      </c>
      <c r="F52" s="76">
        <v>8</v>
      </c>
      <c r="G52" s="76">
        <v>8</v>
      </c>
      <c r="H52" s="76">
        <v>8</v>
      </c>
      <c r="I52" s="76">
        <v>8</v>
      </c>
      <c r="J52" s="76">
        <v>8</v>
      </c>
      <c r="K52" s="76">
        <v>8</v>
      </c>
      <c r="L52" s="76">
        <v>8</v>
      </c>
    </row>
    <row r="53" spans="1:12" ht="15" customHeight="1" x14ac:dyDescent="0.45">
      <c r="B53" s="23" t="s">
        <v>101</v>
      </c>
      <c r="C53" s="74" t="s">
        <v>68</v>
      </c>
      <c r="D53" s="24">
        <v>0.04</v>
      </c>
      <c r="E53" s="24">
        <v>0.04</v>
      </c>
      <c r="F53" s="24">
        <v>0.04</v>
      </c>
      <c r="G53" s="24">
        <v>0.04</v>
      </c>
      <c r="H53" s="24">
        <v>0.04</v>
      </c>
      <c r="I53" s="24">
        <v>0.04</v>
      </c>
      <c r="J53" s="24">
        <v>0.04</v>
      </c>
      <c r="K53" s="24">
        <v>0.04</v>
      </c>
      <c r="L53" s="24">
        <v>0.04</v>
      </c>
    </row>
    <row r="54" spans="1:12" ht="15" customHeight="1" x14ac:dyDescent="0.45">
      <c r="B54" s="23" t="s">
        <v>102</v>
      </c>
      <c r="C54" s="74" t="s">
        <v>68</v>
      </c>
      <c r="D54" s="24">
        <v>7.0000000000000007E-2</v>
      </c>
      <c r="E54" s="24">
        <v>7.0000000000000007E-2</v>
      </c>
      <c r="F54" s="24">
        <v>7.0000000000000007E-2</v>
      </c>
      <c r="G54" s="24">
        <v>7.0000000000000007E-2</v>
      </c>
      <c r="H54" s="24">
        <v>7.0000000000000007E-2</v>
      </c>
      <c r="I54" s="24">
        <v>7.0000000000000007E-2</v>
      </c>
      <c r="J54" s="24">
        <v>7.0000000000000007E-2</v>
      </c>
      <c r="K54" s="24">
        <v>7.0000000000000007E-2</v>
      </c>
      <c r="L54" s="24">
        <v>7.0000000000000007E-2</v>
      </c>
    </row>
    <row r="55" spans="1:12" ht="15" customHeight="1" x14ac:dyDescent="0.45">
      <c r="B55" s="23" t="s">
        <v>103</v>
      </c>
      <c r="C55" s="74" t="s">
        <v>68</v>
      </c>
      <c r="D55" s="24">
        <v>7.1999999999999995E-2</v>
      </c>
      <c r="E55" s="24">
        <v>7.4999999999999997E-2</v>
      </c>
      <c r="F55" s="24">
        <v>7.0000000000000007E-2</v>
      </c>
      <c r="G55" s="24">
        <v>7.0000000000000007E-2</v>
      </c>
      <c r="H55" s="24">
        <v>7.0000000000000007E-2</v>
      </c>
      <c r="I55" s="24">
        <v>7.0000000000000007E-2</v>
      </c>
      <c r="J55" s="24">
        <v>7.0000000000000007E-2</v>
      </c>
      <c r="K55" s="24">
        <v>7.0000000000000007E-2</v>
      </c>
      <c r="L55" s="24">
        <v>7.0000000000000007E-2</v>
      </c>
    </row>
    <row r="56" spans="1:12" ht="15" customHeight="1" x14ac:dyDescent="0.45">
      <c r="B56" s="23" t="s">
        <v>104</v>
      </c>
      <c r="C56" s="74" t="s">
        <v>68</v>
      </c>
      <c r="D56" s="30">
        <v>0.24399999999999999</v>
      </c>
      <c r="E56" s="30">
        <v>0.5</v>
      </c>
      <c r="F56" s="30">
        <v>0.32</v>
      </c>
      <c r="G56" s="30">
        <v>0.24</v>
      </c>
      <c r="H56" s="30">
        <v>0.2</v>
      </c>
      <c r="I56" s="30">
        <v>0.22</v>
      </c>
      <c r="J56" s="30">
        <v>0.25169999999999998</v>
      </c>
      <c r="K56" s="30">
        <v>0.25169999999999998</v>
      </c>
      <c r="L56" s="30">
        <v>0.25169999999999998</v>
      </c>
    </row>
    <row r="58" spans="1:12" ht="15" customHeight="1" x14ac:dyDescent="0.45">
      <c r="A58" s="72" t="s">
        <v>471</v>
      </c>
      <c r="B58" s="40" t="s">
        <v>492</v>
      </c>
    </row>
    <row r="59" spans="1:12" ht="15" customHeight="1" x14ac:dyDescent="0.45">
      <c r="B59" s="23" t="s">
        <v>105</v>
      </c>
      <c r="C59" s="74" t="s">
        <v>68</v>
      </c>
      <c r="D59" s="84">
        <f>WACC!$D$29</f>
        <v>0.12660168568962976</v>
      </c>
    </row>
    <row r="60" spans="1:12" ht="15" customHeight="1" x14ac:dyDescent="0.45">
      <c r="B60" s="23" t="s">
        <v>106</v>
      </c>
      <c r="C60" s="74" t="s">
        <v>68</v>
      </c>
      <c r="D60" s="85">
        <v>6.5000000000000002E-2</v>
      </c>
    </row>
    <row r="61" spans="1:12" ht="30" customHeight="1" x14ac:dyDescent="0.45">
      <c r="B61" s="39"/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"/>
  <sheetViews>
    <sheetView showGridLines="0" zoomScaleNormal="100" workbookViewId="0">
      <pane xSplit="2" ySplit="5" topLeftCell="C82" activePane="bottomRight" state="frozen"/>
      <selection pane="topRight" activeCell="C1" sqref="C1"/>
      <selection pane="bottomLeft" activeCell="A6" sqref="A6"/>
      <selection pane="bottomRight" activeCell="G105" sqref="G105"/>
    </sheetView>
  </sheetViews>
  <sheetFormatPr defaultColWidth="8.6640625" defaultRowHeight="14.25" x14ac:dyDescent="0.45"/>
  <cols>
    <col min="1" max="1" width="54" style="41" customWidth="1"/>
    <col min="2" max="2" width="10" style="41" customWidth="1"/>
    <col min="3" max="10" width="14" style="41" customWidth="1"/>
    <col min="11" max="16384" width="8.6640625" style="41"/>
  </cols>
  <sheetData>
    <row r="1" spans="1:10" ht="15" customHeight="1" x14ac:dyDescent="0.45">
      <c r="A1" s="42" t="s">
        <v>0</v>
      </c>
    </row>
    <row r="2" spans="1:10" ht="19.5" customHeight="1" x14ac:dyDescent="0.45">
      <c r="A2" s="43" t="s">
        <v>472</v>
      </c>
    </row>
    <row r="3" spans="1:10" ht="25.5" customHeight="1" x14ac:dyDescent="0.45">
      <c r="A3" s="44" t="s">
        <v>473</v>
      </c>
    </row>
    <row r="5" spans="1:10" ht="15" customHeight="1" x14ac:dyDescent="0.45">
      <c r="A5" s="45" t="s">
        <v>107</v>
      </c>
      <c r="B5" s="46" t="s">
        <v>48</v>
      </c>
      <c r="C5" s="46" t="s">
        <v>108</v>
      </c>
      <c r="D5" s="46" t="s">
        <v>109</v>
      </c>
      <c r="E5" s="46" t="s">
        <v>110</v>
      </c>
      <c r="F5" s="46" t="s">
        <v>111</v>
      </c>
      <c r="G5" s="46" t="s">
        <v>24</v>
      </c>
      <c r="H5" s="46" t="s">
        <v>112</v>
      </c>
      <c r="I5" s="46" t="s">
        <v>113</v>
      </c>
      <c r="J5" s="46" t="s">
        <v>25</v>
      </c>
    </row>
    <row r="6" spans="1:10" ht="15" customHeight="1" x14ac:dyDescent="0.45">
      <c r="A6" s="47" t="s">
        <v>114</v>
      </c>
    </row>
    <row r="7" spans="1:10" ht="15" customHeight="1" x14ac:dyDescent="0.45">
      <c r="A7" s="48" t="s">
        <v>115</v>
      </c>
      <c r="B7" s="49" t="s">
        <v>59</v>
      </c>
      <c r="C7" s="50">
        <v>1994</v>
      </c>
      <c r="D7" s="50">
        <v>4192</v>
      </c>
      <c r="E7" s="50">
        <v>7079</v>
      </c>
      <c r="F7" s="50">
        <v>12114</v>
      </c>
      <c r="G7" s="50">
        <v>20243</v>
      </c>
      <c r="H7" s="50">
        <v>16315</v>
      </c>
      <c r="I7" s="50">
        <v>37072</v>
      </c>
      <c r="J7" s="51">
        <f>Model!E7</f>
        <v>54670.182091499999</v>
      </c>
    </row>
    <row r="8" spans="1:10" ht="15" customHeight="1" x14ac:dyDescent="0.45">
      <c r="A8" s="52" t="s">
        <v>116</v>
      </c>
      <c r="B8" s="49" t="s">
        <v>68</v>
      </c>
      <c r="D8" s="53">
        <f>D7/C7-1</f>
        <v>1.1023069207622869</v>
      </c>
      <c r="E8" s="53">
        <f>E7/D7-1</f>
        <v>0.68869274809160297</v>
      </c>
      <c r="F8" s="53">
        <f>F7/E7-1</f>
        <v>0.71125865235202723</v>
      </c>
      <c r="G8" s="53">
        <f>G7/F7-1</f>
        <v>0.67104176985306263</v>
      </c>
      <c r="J8" s="53">
        <f>J7/G7-1</f>
        <v>1.7006956523983598</v>
      </c>
    </row>
    <row r="9" spans="1:10" ht="15" customHeight="1" x14ac:dyDescent="0.45">
      <c r="A9" s="52" t="s">
        <v>117</v>
      </c>
      <c r="B9" s="49" t="s">
        <v>59</v>
      </c>
      <c r="C9" s="54">
        <v>-200</v>
      </c>
      <c r="D9" s="54">
        <v>793</v>
      </c>
      <c r="E9" s="54">
        <v>682</v>
      </c>
      <c r="F9" s="54">
        <v>846</v>
      </c>
      <c r="G9" s="54">
        <v>1077</v>
      </c>
      <c r="H9" s="54">
        <v>348</v>
      </c>
      <c r="I9" s="54">
        <v>1054</v>
      </c>
      <c r="J9" s="55">
        <f>Model!E28</f>
        <v>1364.5986707296875</v>
      </c>
    </row>
    <row r="10" spans="1:10" ht="15" customHeight="1" x14ac:dyDescent="0.45">
      <c r="A10" s="52" t="s">
        <v>118</v>
      </c>
      <c r="B10" s="49" t="s">
        <v>59</v>
      </c>
      <c r="C10" s="56">
        <f t="shared" ref="C10:J10" si="0">C7+C9</f>
        <v>1794</v>
      </c>
      <c r="D10" s="56">
        <f t="shared" si="0"/>
        <v>4985</v>
      </c>
      <c r="E10" s="56">
        <f t="shared" si="0"/>
        <v>7761</v>
      </c>
      <c r="F10" s="56">
        <f t="shared" si="0"/>
        <v>12960</v>
      </c>
      <c r="G10" s="56">
        <f t="shared" si="0"/>
        <v>21320</v>
      </c>
      <c r="H10" s="56">
        <f t="shared" si="0"/>
        <v>16663</v>
      </c>
      <c r="I10" s="56">
        <f t="shared" si="0"/>
        <v>38126</v>
      </c>
      <c r="J10" s="56">
        <f t="shared" si="0"/>
        <v>56034.78076222969</v>
      </c>
    </row>
    <row r="11" spans="1:10" ht="15" customHeight="1" x14ac:dyDescent="0.45">
      <c r="A11" s="52" t="s">
        <v>119</v>
      </c>
      <c r="B11" s="49" t="s">
        <v>59</v>
      </c>
      <c r="C11" s="54">
        <v>-2461</v>
      </c>
      <c r="D11" s="54">
        <v>-6043</v>
      </c>
      <c r="E11" s="54">
        <v>-8290</v>
      </c>
      <c r="F11" s="54">
        <v>-12071</v>
      </c>
      <c r="G11" s="54">
        <v>-19606</v>
      </c>
      <c r="H11" s="54">
        <v>-15947</v>
      </c>
      <c r="I11" s="54">
        <v>-36350</v>
      </c>
      <c r="J11" s="55">
        <f>-(Model!E7-Model!E23)</f>
        <v>-53313.247312</v>
      </c>
    </row>
    <row r="12" spans="1:10" ht="15" customHeight="1" x14ac:dyDescent="0.45">
      <c r="A12" s="48" t="s">
        <v>120</v>
      </c>
      <c r="B12" s="49" t="s">
        <v>59</v>
      </c>
      <c r="C12" s="57">
        <f t="shared" ref="C12:J12" si="1">C10-C9+C11</f>
        <v>-467</v>
      </c>
      <c r="D12" s="57">
        <f t="shared" si="1"/>
        <v>-1851</v>
      </c>
      <c r="E12" s="57">
        <f t="shared" si="1"/>
        <v>-1211</v>
      </c>
      <c r="F12" s="57">
        <f t="shared" si="1"/>
        <v>43</v>
      </c>
      <c r="G12" s="57">
        <f t="shared" si="1"/>
        <v>637</v>
      </c>
      <c r="H12" s="57">
        <f t="shared" si="1"/>
        <v>368</v>
      </c>
      <c r="I12" s="57">
        <f t="shared" si="1"/>
        <v>722</v>
      </c>
      <c r="J12" s="57">
        <f t="shared" si="1"/>
        <v>1356.9347794999994</v>
      </c>
    </row>
    <row r="13" spans="1:10" ht="15" customHeight="1" x14ac:dyDescent="0.45">
      <c r="A13" s="52" t="s">
        <v>121</v>
      </c>
      <c r="B13" s="49" t="s">
        <v>68</v>
      </c>
      <c r="C13" s="53">
        <f t="shared" ref="C13:J13" si="2">C12/C7</f>
        <v>-0.23420260782347041</v>
      </c>
      <c r="D13" s="53">
        <f t="shared" si="2"/>
        <v>-0.44155534351145037</v>
      </c>
      <c r="E13" s="53">
        <f t="shared" si="2"/>
        <v>-0.17106936007910722</v>
      </c>
      <c r="F13" s="53">
        <f t="shared" si="2"/>
        <v>3.549612019151395E-3</v>
      </c>
      <c r="G13" s="53">
        <f t="shared" si="2"/>
        <v>3.1467667835795091E-2</v>
      </c>
      <c r="H13" s="53">
        <f t="shared" si="2"/>
        <v>2.2555930125651241E-2</v>
      </c>
      <c r="I13" s="53">
        <f t="shared" si="2"/>
        <v>1.9475615019421667E-2</v>
      </c>
      <c r="J13" s="53">
        <f t="shared" si="2"/>
        <v>2.4820381560627228E-2</v>
      </c>
    </row>
    <row r="14" spans="1:10" ht="15" customHeight="1" x14ac:dyDescent="0.45">
      <c r="A14" s="52" t="s">
        <v>122</v>
      </c>
      <c r="B14" s="49" t="s">
        <v>59</v>
      </c>
      <c r="C14" s="54">
        <v>-10</v>
      </c>
      <c r="D14" s="54">
        <v>-12</v>
      </c>
      <c r="E14" s="54">
        <v>-49</v>
      </c>
      <c r="F14" s="54">
        <v>-72</v>
      </c>
      <c r="G14" s="54">
        <v>-154</v>
      </c>
      <c r="H14" s="54">
        <v>-106</v>
      </c>
      <c r="I14" s="54">
        <v>-260</v>
      </c>
      <c r="J14" s="55">
        <f>Model!E29</f>
        <v>-370.42500000000001</v>
      </c>
    </row>
    <row r="15" spans="1:10" ht="15" customHeight="1" x14ac:dyDescent="0.45">
      <c r="A15" s="52" t="s">
        <v>123</v>
      </c>
      <c r="B15" s="49" t="s">
        <v>59</v>
      </c>
      <c r="C15" s="54">
        <v>-138</v>
      </c>
      <c r="D15" s="54">
        <v>-150</v>
      </c>
      <c r="E15" s="54">
        <v>-437</v>
      </c>
      <c r="F15" s="54">
        <v>-526</v>
      </c>
      <c r="G15" s="54">
        <v>-863</v>
      </c>
      <c r="H15" s="54">
        <v>-439</v>
      </c>
      <c r="I15" s="54">
        <v>-1129</v>
      </c>
      <c r="J15" s="55">
        <f>Model!E24</f>
        <v>-1585.22052029</v>
      </c>
    </row>
    <row r="16" spans="1:10" ht="15" customHeight="1" x14ac:dyDescent="0.45">
      <c r="A16" s="48" t="s">
        <v>474</v>
      </c>
      <c r="B16" s="49" t="s">
        <v>59</v>
      </c>
      <c r="C16" s="58">
        <v>-815</v>
      </c>
      <c r="D16" s="58">
        <v>-1220</v>
      </c>
      <c r="E16" s="58">
        <v>-1015</v>
      </c>
      <c r="F16" s="58">
        <v>291</v>
      </c>
      <c r="G16" s="58">
        <v>697</v>
      </c>
      <c r="H16" s="58">
        <v>170</v>
      </c>
      <c r="I16" s="58">
        <v>387</v>
      </c>
      <c r="J16" s="59">
        <f>Model!E30</f>
        <v>765.88792993968741</v>
      </c>
    </row>
    <row r="17" spans="1:10" ht="15" customHeight="1" x14ac:dyDescent="0.45">
      <c r="A17" s="52" t="s">
        <v>124</v>
      </c>
      <c r="B17" s="49" t="s">
        <v>59</v>
      </c>
      <c r="C17" s="54">
        <v>-1</v>
      </c>
      <c r="D17" s="54">
        <v>-2</v>
      </c>
      <c r="E17" s="54">
        <v>44</v>
      </c>
      <c r="F17" s="54">
        <v>60</v>
      </c>
      <c r="G17" s="54">
        <v>-170</v>
      </c>
      <c r="H17" s="54">
        <v>-68</v>
      </c>
      <c r="I17" s="54">
        <v>-195</v>
      </c>
      <c r="J17" s="55">
        <f>-Model!E34</f>
        <v>-382.94396496984371</v>
      </c>
    </row>
    <row r="18" spans="1:10" ht="15" customHeight="1" x14ac:dyDescent="0.45">
      <c r="A18" s="48" t="s">
        <v>125</v>
      </c>
      <c r="B18" s="49" t="s">
        <v>59</v>
      </c>
      <c r="C18" s="60">
        <v>-816</v>
      </c>
      <c r="D18" s="60">
        <v>-1222</v>
      </c>
      <c r="E18" s="60">
        <v>-971</v>
      </c>
      <c r="F18" s="60">
        <v>351</v>
      </c>
      <c r="G18" s="60">
        <v>527</v>
      </c>
      <c r="H18" s="60">
        <v>102</v>
      </c>
      <c r="I18" s="60">
        <v>192</v>
      </c>
      <c r="J18" s="61">
        <f>Model!E31</f>
        <v>382.94396496984371</v>
      </c>
    </row>
    <row r="19" spans="1:10" ht="15" customHeight="1" x14ac:dyDescent="0.45">
      <c r="A19" s="52" t="s">
        <v>475</v>
      </c>
      <c r="B19" s="49" t="s">
        <v>126</v>
      </c>
      <c r="D19" s="62">
        <v>-1.54</v>
      </c>
      <c r="E19" s="62">
        <v>-1.1399999999999999</v>
      </c>
      <c r="F19" s="62">
        <v>0.4</v>
      </c>
      <c r="G19" s="62">
        <v>0.55000000000000004</v>
      </c>
      <c r="H19" s="62">
        <v>0.11</v>
      </c>
      <c r="I19" s="62">
        <v>0.21</v>
      </c>
      <c r="J19" s="63">
        <f>Model!E33</f>
        <v>0.39681667596145626</v>
      </c>
    </row>
    <row r="20" spans="1:10" ht="15" customHeight="1" x14ac:dyDescent="0.45">
      <c r="A20" s="48" t="s">
        <v>127</v>
      </c>
      <c r="C20" s="64">
        <f t="shared" ref="C20:J20" si="3">C12+C9+C14+C15-C16</f>
        <v>0</v>
      </c>
      <c r="D20" s="64">
        <f t="shared" si="3"/>
        <v>0</v>
      </c>
      <c r="E20" s="64">
        <f t="shared" si="3"/>
        <v>0</v>
      </c>
      <c r="F20" s="64">
        <f t="shared" si="3"/>
        <v>0</v>
      </c>
      <c r="G20" s="64">
        <f t="shared" si="3"/>
        <v>0</v>
      </c>
      <c r="H20" s="64">
        <f t="shared" si="3"/>
        <v>1</v>
      </c>
      <c r="I20" s="64">
        <f t="shared" si="3"/>
        <v>0</v>
      </c>
      <c r="J20" s="64">
        <f t="shared" si="3"/>
        <v>0</v>
      </c>
    </row>
    <row r="22" spans="1:10" ht="15" customHeight="1" x14ac:dyDescent="0.45">
      <c r="A22" s="47" t="s">
        <v>476</v>
      </c>
    </row>
    <row r="23" spans="1:10" ht="15" customHeight="1" x14ac:dyDescent="0.45">
      <c r="A23" s="52" t="s">
        <v>128</v>
      </c>
      <c r="B23" s="49" t="s">
        <v>59</v>
      </c>
      <c r="G23" s="54">
        <v>-5653</v>
      </c>
      <c r="H23" s="54">
        <v>-10076</v>
      </c>
      <c r="I23" s="54">
        <v>-21428</v>
      </c>
    </row>
    <row r="24" spans="1:10" ht="15" customHeight="1" x14ac:dyDescent="0.45">
      <c r="A24" s="52" t="s">
        <v>129</v>
      </c>
      <c r="B24" s="49" t="s">
        <v>59</v>
      </c>
      <c r="G24" s="54">
        <v>0</v>
      </c>
      <c r="H24" s="54">
        <v>-15</v>
      </c>
      <c r="I24" s="54">
        <v>-15</v>
      </c>
    </row>
    <row r="25" spans="1:10" ht="15" customHeight="1" x14ac:dyDescent="0.45">
      <c r="A25" s="52" t="s">
        <v>130</v>
      </c>
      <c r="B25" s="49" t="s">
        <v>59</v>
      </c>
      <c r="G25" s="54">
        <v>88</v>
      </c>
      <c r="H25" s="54">
        <v>290</v>
      </c>
      <c r="I25" s="54">
        <v>1616</v>
      </c>
    </row>
    <row r="26" spans="1:10" ht="15" customHeight="1" x14ac:dyDescent="0.45">
      <c r="A26" s="52" t="s">
        <v>131</v>
      </c>
      <c r="B26" s="49" t="s">
        <v>59</v>
      </c>
      <c r="G26" s="54">
        <v>-2558</v>
      </c>
      <c r="H26" s="54">
        <v>-914</v>
      </c>
      <c r="I26" s="54">
        <v>-2609</v>
      </c>
    </row>
    <row r="27" spans="1:10" ht="15" customHeight="1" x14ac:dyDescent="0.45">
      <c r="A27" s="52" t="s">
        <v>132</v>
      </c>
      <c r="B27" s="49" t="s">
        <v>59</v>
      </c>
      <c r="G27" s="54">
        <v>-1972</v>
      </c>
      <c r="H27" s="54">
        <v>-937</v>
      </c>
      <c r="I27" s="54">
        <v>-2414</v>
      </c>
    </row>
    <row r="28" spans="1:10" ht="15" customHeight="1" x14ac:dyDescent="0.45">
      <c r="A28" s="52" t="s">
        <v>133</v>
      </c>
      <c r="B28" s="49" t="s">
        <v>59</v>
      </c>
      <c r="G28" s="54">
        <v>-5728</v>
      </c>
      <c r="H28" s="54">
        <v>-2376</v>
      </c>
      <c r="I28" s="54">
        <v>-6458</v>
      </c>
    </row>
    <row r="29" spans="1:10" ht="15" customHeight="1" x14ac:dyDescent="0.45">
      <c r="A29" s="52" t="s">
        <v>134</v>
      </c>
      <c r="B29" s="49" t="s">
        <v>59</v>
      </c>
      <c r="G29" s="54">
        <v>-3783</v>
      </c>
      <c r="H29" s="54">
        <v>-1919</v>
      </c>
      <c r="I29" s="54">
        <v>-5042</v>
      </c>
    </row>
    <row r="30" spans="1:10" ht="15" customHeight="1" x14ac:dyDescent="0.45">
      <c r="A30" s="48" t="s">
        <v>135</v>
      </c>
      <c r="B30" s="49" t="s">
        <v>59</v>
      </c>
      <c r="G30" s="57">
        <f>SUM(G23:G29)</f>
        <v>-19606</v>
      </c>
      <c r="H30" s="57">
        <f>SUM(H23:H29)</f>
        <v>-15947</v>
      </c>
      <c r="I30" s="57">
        <f>SUM(I23:I29)</f>
        <v>-36350</v>
      </c>
    </row>
    <row r="31" spans="1:10" ht="15" customHeight="1" x14ac:dyDescent="0.45">
      <c r="A31" s="48" t="s">
        <v>136</v>
      </c>
      <c r="G31" s="64">
        <f>G30-G11</f>
        <v>0</v>
      </c>
      <c r="H31" s="64">
        <f>H30-H11</f>
        <v>0</v>
      </c>
      <c r="I31" s="64">
        <f>I30-I11</f>
        <v>0</v>
      </c>
    </row>
    <row r="33" spans="1:9" ht="15" customHeight="1" x14ac:dyDescent="0.45">
      <c r="A33" s="47" t="s">
        <v>137</v>
      </c>
    </row>
    <row r="34" spans="1:9" ht="15" customHeight="1" x14ac:dyDescent="0.45">
      <c r="A34" s="52" t="s">
        <v>138</v>
      </c>
      <c r="B34" s="49" t="s">
        <v>59</v>
      </c>
      <c r="G34" s="54">
        <v>8080</v>
      </c>
      <c r="H34" s="54">
        <v>2676</v>
      </c>
      <c r="I34" s="54">
        <v>7422</v>
      </c>
    </row>
    <row r="35" spans="1:9" ht="15" customHeight="1" x14ac:dyDescent="0.45">
      <c r="A35" s="52" t="s">
        <v>139</v>
      </c>
      <c r="B35" s="49" t="s">
        <v>59</v>
      </c>
      <c r="G35" s="54">
        <v>5206</v>
      </c>
      <c r="H35" s="54">
        <v>12256</v>
      </c>
      <c r="I35" s="54">
        <v>24547</v>
      </c>
    </row>
    <row r="36" spans="1:9" ht="15" customHeight="1" x14ac:dyDescent="0.45">
      <c r="A36" s="52" t="s">
        <v>140</v>
      </c>
      <c r="B36" s="49" t="s">
        <v>59</v>
      </c>
      <c r="G36" s="54">
        <v>6196</v>
      </c>
      <c r="H36" s="54">
        <v>1070</v>
      </c>
      <c r="I36" s="54">
        <v>4388</v>
      </c>
    </row>
    <row r="37" spans="1:9" ht="15" customHeight="1" x14ac:dyDescent="0.45">
      <c r="A37" s="52" t="s">
        <v>141</v>
      </c>
      <c r="B37" s="49" t="s">
        <v>59</v>
      </c>
      <c r="G37" s="54">
        <v>731</v>
      </c>
      <c r="H37" s="54">
        <v>300</v>
      </c>
      <c r="I37" s="54">
        <v>692</v>
      </c>
    </row>
    <row r="38" spans="1:9" ht="15" customHeight="1" x14ac:dyDescent="0.45">
      <c r="A38" s="52" t="s">
        <v>142</v>
      </c>
      <c r="B38" s="49" t="s">
        <v>59</v>
      </c>
      <c r="G38" s="54">
        <v>30</v>
      </c>
      <c r="H38" s="54">
        <v>13</v>
      </c>
      <c r="I38" s="54">
        <v>23</v>
      </c>
    </row>
    <row r="39" spans="1:9" ht="15" customHeight="1" x14ac:dyDescent="0.45">
      <c r="A39" s="48" t="s">
        <v>143</v>
      </c>
      <c r="B39" s="49" t="s">
        <v>59</v>
      </c>
      <c r="G39" s="57">
        <f>SUM(G34:G38)</f>
        <v>20243</v>
      </c>
      <c r="H39" s="57">
        <f>SUM(H34:H38)</f>
        <v>16315</v>
      </c>
      <c r="I39" s="57">
        <f>SUM(I34:I38)</f>
        <v>37072</v>
      </c>
    </row>
    <row r="40" spans="1:9" ht="15" customHeight="1" x14ac:dyDescent="0.45">
      <c r="A40" s="48" t="s">
        <v>144</v>
      </c>
      <c r="G40" s="64">
        <f>G39-G7</f>
        <v>0</v>
      </c>
      <c r="H40" s="64">
        <f>H39-H7</f>
        <v>0</v>
      </c>
      <c r="I40" s="64">
        <f>I39-I7</f>
        <v>0</v>
      </c>
    </row>
    <row r="42" spans="1:9" ht="15" customHeight="1" x14ac:dyDescent="0.45">
      <c r="A42" s="47" t="s">
        <v>477</v>
      </c>
    </row>
    <row r="43" spans="1:9" ht="15" customHeight="1" x14ac:dyDescent="0.45">
      <c r="A43" s="52" t="s">
        <v>478</v>
      </c>
      <c r="B43" s="49" t="s">
        <v>59</v>
      </c>
      <c r="H43" s="54">
        <v>531</v>
      </c>
    </row>
    <row r="44" spans="1:9" ht="15" customHeight="1" x14ac:dyDescent="0.45">
      <c r="A44" s="52" t="s">
        <v>479</v>
      </c>
      <c r="B44" s="49" t="s">
        <v>59</v>
      </c>
      <c r="H44" s="54">
        <v>4</v>
      </c>
    </row>
    <row r="45" spans="1:9" ht="15" customHeight="1" x14ac:dyDescent="0.45">
      <c r="A45" s="52" t="s">
        <v>480</v>
      </c>
      <c r="B45" s="49" t="s">
        <v>59</v>
      </c>
      <c r="H45" s="54">
        <v>-121</v>
      </c>
    </row>
    <row r="46" spans="1:9" ht="15" customHeight="1" x14ac:dyDescent="0.45">
      <c r="A46" s="52" t="s">
        <v>481</v>
      </c>
      <c r="B46" s="49" t="s">
        <v>59</v>
      </c>
      <c r="H46" s="54">
        <v>1</v>
      </c>
    </row>
    <row r="47" spans="1:9" ht="15" customHeight="1" x14ac:dyDescent="0.45">
      <c r="A47" s="52" t="s">
        <v>482</v>
      </c>
      <c r="B47" s="49" t="s">
        <v>59</v>
      </c>
      <c r="H47" s="54">
        <v>-51</v>
      </c>
    </row>
    <row r="48" spans="1:9" ht="15" customHeight="1" x14ac:dyDescent="0.45">
      <c r="A48" s="48" t="s">
        <v>145</v>
      </c>
      <c r="B48" s="49" t="s">
        <v>59</v>
      </c>
      <c r="H48" s="57">
        <f>SUM(H43:H47)</f>
        <v>364</v>
      </c>
    </row>
    <row r="49" spans="1:9" ht="15" customHeight="1" x14ac:dyDescent="0.45">
      <c r="A49" s="52" t="s">
        <v>483</v>
      </c>
      <c r="B49" s="49" t="s">
        <v>59</v>
      </c>
      <c r="H49" s="65">
        <f>H43/0.054</f>
        <v>9833.3333333333339</v>
      </c>
    </row>
    <row r="50" spans="1:9" ht="15" customHeight="1" x14ac:dyDescent="0.45">
      <c r="A50" s="52" t="s">
        <v>484</v>
      </c>
      <c r="B50" s="49" t="s">
        <v>59</v>
      </c>
      <c r="H50" s="65">
        <f>-H45/0.047</f>
        <v>2574.4680851063831</v>
      </c>
    </row>
    <row r="51" spans="1:9" ht="15" customHeight="1" x14ac:dyDescent="0.45">
      <c r="A51" s="48" t="s">
        <v>146</v>
      </c>
      <c r="H51" s="64">
        <f>H49+13300+H50-25732</f>
        <v>-24.198581560282037</v>
      </c>
    </row>
    <row r="53" spans="1:9" ht="15" customHeight="1" x14ac:dyDescent="0.45">
      <c r="A53" s="47" t="s">
        <v>485</v>
      </c>
    </row>
    <row r="54" spans="1:9" ht="15" customHeight="1" x14ac:dyDescent="0.45">
      <c r="A54" s="52" t="s">
        <v>147</v>
      </c>
      <c r="F54" s="66" t="s">
        <v>148</v>
      </c>
      <c r="G54" s="67">
        <v>1301</v>
      </c>
      <c r="H54" s="66" t="s">
        <v>149</v>
      </c>
      <c r="I54" s="66" t="s">
        <v>149</v>
      </c>
    </row>
    <row r="55" spans="1:9" ht="15" customHeight="1" x14ac:dyDescent="0.45">
      <c r="A55" s="52" t="s">
        <v>150</v>
      </c>
      <c r="G55" s="66" t="s">
        <v>151</v>
      </c>
      <c r="H55" s="66" t="s">
        <v>152</v>
      </c>
      <c r="I55" s="66" t="s">
        <v>153</v>
      </c>
    </row>
    <row r="56" spans="1:9" ht="15" customHeight="1" x14ac:dyDescent="0.45">
      <c r="A56" s="52" t="s">
        <v>154</v>
      </c>
      <c r="G56" s="66" t="s">
        <v>155</v>
      </c>
      <c r="H56" s="66" t="s">
        <v>156</v>
      </c>
      <c r="I56" s="66" t="s">
        <v>157</v>
      </c>
    </row>
    <row r="57" spans="1:9" ht="15" customHeight="1" x14ac:dyDescent="0.45">
      <c r="A57" s="52" t="s">
        <v>158</v>
      </c>
      <c r="G57" s="66" t="s">
        <v>159</v>
      </c>
      <c r="H57" s="66" t="s">
        <v>160</v>
      </c>
      <c r="I57" s="66" t="s">
        <v>161</v>
      </c>
    </row>
    <row r="58" spans="1:9" ht="15" customHeight="1" x14ac:dyDescent="0.45">
      <c r="A58" s="52" t="s">
        <v>162</v>
      </c>
      <c r="G58" s="66" t="s">
        <v>163</v>
      </c>
      <c r="H58" s="66" t="s">
        <v>164</v>
      </c>
      <c r="I58" s="66" t="s">
        <v>164</v>
      </c>
    </row>
    <row r="59" spans="1:9" ht="15" customHeight="1" x14ac:dyDescent="0.45">
      <c r="A59" s="52" t="s">
        <v>165</v>
      </c>
      <c r="H59" s="66" t="s">
        <v>166</v>
      </c>
    </row>
    <row r="60" spans="1:9" ht="15" customHeight="1" x14ac:dyDescent="0.45">
      <c r="A60" s="52" t="s">
        <v>167</v>
      </c>
      <c r="H60" s="66" t="s">
        <v>168</v>
      </c>
    </row>
    <row r="61" spans="1:9" ht="15" customHeight="1" x14ac:dyDescent="0.45">
      <c r="A61" s="52" t="s">
        <v>169</v>
      </c>
      <c r="H61" s="66" t="s">
        <v>170</v>
      </c>
    </row>
    <row r="62" spans="1:9" ht="15" customHeight="1" x14ac:dyDescent="0.45">
      <c r="A62" s="52" t="s">
        <v>171</v>
      </c>
      <c r="H62" s="66" t="s">
        <v>172</v>
      </c>
    </row>
    <row r="63" spans="1:9" ht="15" customHeight="1" x14ac:dyDescent="0.45">
      <c r="A63" s="52" t="s">
        <v>173</v>
      </c>
      <c r="H63" s="66" t="s">
        <v>174</v>
      </c>
    </row>
    <row r="64" spans="1:9" ht="15" customHeight="1" x14ac:dyDescent="0.45">
      <c r="A64" s="52" t="s">
        <v>486</v>
      </c>
      <c r="H64" s="66" t="s">
        <v>175</v>
      </c>
    </row>
    <row r="65" spans="1:8" ht="15" customHeight="1" x14ac:dyDescent="0.45">
      <c r="A65" s="52" t="s">
        <v>487</v>
      </c>
      <c r="H65" s="66" t="s">
        <v>176</v>
      </c>
    </row>
    <row r="67" spans="1:8" ht="15" customHeight="1" x14ac:dyDescent="0.45">
      <c r="A67" s="47" t="s">
        <v>488</v>
      </c>
    </row>
    <row r="68" spans="1:8" ht="15" customHeight="1" x14ac:dyDescent="0.45">
      <c r="A68" s="45" t="s">
        <v>177</v>
      </c>
      <c r="B68" s="46" t="s">
        <v>48</v>
      </c>
      <c r="C68" s="46" t="s">
        <v>108</v>
      </c>
      <c r="D68" s="46" t="s">
        <v>109</v>
      </c>
      <c r="E68" s="46" t="s">
        <v>110</v>
      </c>
      <c r="F68" s="46" t="s">
        <v>111</v>
      </c>
      <c r="G68" s="46" t="s">
        <v>24</v>
      </c>
    </row>
    <row r="69" spans="1:8" ht="15" customHeight="1" x14ac:dyDescent="0.45">
      <c r="A69" s="52" t="s">
        <v>178</v>
      </c>
      <c r="B69" s="49" t="s">
        <v>59</v>
      </c>
      <c r="C69" s="54">
        <v>0</v>
      </c>
      <c r="D69" s="54">
        <v>764</v>
      </c>
      <c r="E69" s="54">
        <v>836</v>
      </c>
      <c r="F69" s="54">
        <v>868</v>
      </c>
      <c r="G69" s="54">
        <v>907</v>
      </c>
    </row>
    <row r="70" spans="1:8" ht="15" customHeight="1" x14ac:dyDescent="0.45">
      <c r="A70" s="52" t="s">
        <v>179</v>
      </c>
      <c r="B70" s="49" t="s">
        <v>59</v>
      </c>
      <c r="C70" s="54">
        <v>7644</v>
      </c>
      <c r="D70" s="54">
        <v>15741</v>
      </c>
      <c r="E70" s="54">
        <v>18624</v>
      </c>
      <c r="F70" s="54">
        <v>19545</v>
      </c>
      <c r="G70" s="54">
        <v>29410</v>
      </c>
    </row>
    <row r="71" spans="1:8" ht="15" customHeight="1" x14ac:dyDescent="0.45">
      <c r="A71" s="48" t="s">
        <v>180</v>
      </c>
      <c r="B71" s="49" t="s">
        <v>59</v>
      </c>
      <c r="C71" s="57">
        <f>C69+C70</f>
        <v>7644</v>
      </c>
      <c r="D71" s="57">
        <f>D69+D70</f>
        <v>16505</v>
      </c>
      <c r="E71" s="57">
        <f>E69+E70</f>
        <v>19460</v>
      </c>
      <c r="F71" s="57">
        <f>F69+F70</f>
        <v>20413</v>
      </c>
      <c r="G71" s="57">
        <f>G69+G70</f>
        <v>30317</v>
      </c>
    </row>
    <row r="72" spans="1:8" ht="15" customHeight="1" x14ac:dyDescent="0.45">
      <c r="A72" s="52" t="s">
        <v>181</v>
      </c>
      <c r="B72" s="49" t="s">
        <v>59</v>
      </c>
      <c r="C72" s="54">
        <v>527</v>
      </c>
      <c r="D72" s="54">
        <v>70</v>
      </c>
      <c r="E72" s="54">
        <v>507</v>
      </c>
      <c r="F72" s="54">
        <v>749</v>
      </c>
      <c r="G72" s="54">
        <v>2045</v>
      </c>
    </row>
    <row r="73" spans="1:8" ht="15" customHeight="1" x14ac:dyDescent="0.45">
      <c r="A73" s="52" t="s">
        <v>182</v>
      </c>
      <c r="B73" s="49" t="s">
        <v>59</v>
      </c>
      <c r="C73" s="54">
        <v>532</v>
      </c>
      <c r="D73" s="54">
        <v>751</v>
      </c>
      <c r="E73" s="54">
        <v>1632</v>
      </c>
      <c r="F73" s="54">
        <v>2194</v>
      </c>
      <c r="G73" s="54">
        <v>3261</v>
      </c>
    </row>
    <row r="74" spans="1:8" ht="15" customHeight="1" x14ac:dyDescent="0.45">
      <c r="A74" s="48" t="s">
        <v>183</v>
      </c>
      <c r="B74" s="49" t="s">
        <v>59</v>
      </c>
      <c r="C74" s="57">
        <f>C72+C73</f>
        <v>1059</v>
      </c>
      <c r="D74" s="57">
        <f>D72+D73</f>
        <v>821</v>
      </c>
      <c r="E74" s="57">
        <f>E72+E73</f>
        <v>2139</v>
      </c>
      <c r="F74" s="57">
        <f>F72+F73</f>
        <v>2943</v>
      </c>
      <c r="G74" s="57">
        <f>G72+G73</f>
        <v>5306</v>
      </c>
    </row>
    <row r="75" spans="1:8" ht="15" customHeight="1" x14ac:dyDescent="0.45">
      <c r="A75" s="48" t="s">
        <v>184</v>
      </c>
      <c r="B75" s="49" t="s">
        <v>59</v>
      </c>
      <c r="C75" s="57">
        <f>C71+C74</f>
        <v>8703</v>
      </c>
      <c r="D75" s="57">
        <f>D71+D74</f>
        <v>17326</v>
      </c>
      <c r="E75" s="57">
        <f>E71+E74</f>
        <v>21599</v>
      </c>
      <c r="F75" s="57">
        <f>F71+F74</f>
        <v>23356</v>
      </c>
      <c r="G75" s="57">
        <f>G71+G74</f>
        <v>35623</v>
      </c>
    </row>
    <row r="77" spans="1:8" ht="15" customHeight="1" x14ac:dyDescent="0.45">
      <c r="A77" s="52" t="s">
        <v>185</v>
      </c>
      <c r="B77" s="49" t="s">
        <v>59</v>
      </c>
      <c r="C77" s="54">
        <v>1539</v>
      </c>
      <c r="D77" s="54">
        <v>1404</v>
      </c>
      <c r="E77" s="54">
        <v>6344</v>
      </c>
      <c r="F77" s="54">
        <v>6448</v>
      </c>
      <c r="G77" s="54">
        <v>9532</v>
      </c>
    </row>
    <row r="78" spans="1:8" ht="15" customHeight="1" x14ac:dyDescent="0.45">
      <c r="A78" s="52" t="s">
        <v>186</v>
      </c>
      <c r="B78" s="49" t="s">
        <v>59</v>
      </c>
      <c r="C78" s="54">
        <v>0</v>
      </c>
      <c r="D78" s="54">
        <v>1</v>
      </c>
      <c r="E78" s="54">
        <v>7</v>
      </c>
      <c r="F78" s="54">
        <v>18</v>
      </c>
      <c r="G78" s="54">
        <v>51</v>
      </c>
    </row>
    <row r="79" spans="1:8" ht="15" customHeight="1" x14ac:dyDescent="0.45">
      <c r="A79" s="52" t="s">
        <v>187</v>
      </c>
      <c r="B79" s="49" t="s">
        <v>59</v>
      </c>
      <c r="C79" s="54">
        <v>2205</v>
      </c>
      <c r="D79" s="54">
        <v>4718</v>
      </c>
      <c r="E79" s="54">
        <v>6765</v>
      </c>
      <c r="F79" s="54">
        <v>11645</v>
      </c>
      <c r="G79" s="54">
        <v>13192</v>
      </c>
    </row>
    <row r="80" spans="1:8" ht="15" customHeight="1" x14ac:dyDescent="0.45">
      <c r="A80" s="52" t="s">
        <v>188</v>
      </c>
      <c r="B80" s="49" t="s">
        <v>59</v>
      </c>
      <c r="C80" s="54">
        <v>4959</v>
      </c>
      <c r="D80" s="54">
        <v>11204</v>
      </c>
      <c r="E80" s="54">
        <v>8483</v>
      </c>
      <c r="F80" s="54">
        <v>5245</v>
      </c>
      <c r="G80" s="54">
        <v>12848</v>
      </c>
    </row>
    <row r="81" spans="1:7" ht="15" customHeight="1" x14ac:dyDescent="0.45">
      <c r="A81" s="48" t="s">
        <v>189</v>
      </c>
      <c r="B81" s="49" t="s">
        <v>59</v>
      </c>
      <c r="C81" s="57">
        <f>SUM(C77:C80)</f>
        <v>8703</v>
      </c>
      <c r="D81" s="57">
        <f>SUM(D77:D80)</f>
        <v>17327</v>
      </c>
      <c r="E81" s="57">
        <f>SUM(E77:E80)</f>
        <v>21599</v>
      </c>
      <c r="F81" s="57">
        <f>SUM(F77:F80)</f>
        <v>23356</v>
      </c>
      <c r="G81" s="57">
        <f>SUM(G77:G80)</f>
        <v>35623</v>
      </c>
    </row>
    <row r="82" spans="1:7" ht="15" customHeight="1" x14ac:dyDescent="0.45">
      <c r="A82" s="48" t="s">
        <v>190</v>
      </c>
      <c r="C82" s="64">
        <f>C81-C75</f>
        <v>0</v>
      </c>
      <c r="D82" s="64">
        <f>D81-D75</f>
        <v>1</v>
      </c>
      <c r="E82" s="64">
        <f>E81-E75</f>
        <v>0</v>
      </c>
      <c r="F82" s="64">
        <f>F81-F75</f>
        <v>0</v>
      </c>
      <c r="G82" s="64">
        <f>G81-G75</f>
        <v>0</v>
      </c>
    </row>
    <row r="83" spans="1:7" ht="15" customHeight="1" x14ac:dyDescent="0.45">
      <c r="A83" s="52" t="s">
        <v>191</v>
      </c>
      <c r="B83" s="49" t="s">
        <v>59</v>
      </c>
      <c r="C83" s="65">
        <f>C79+C80-C73</f>
        <v>6632</v>
      </c>
      <c r="D83" s="65">
        <f>D79+D80-D73</f>
        <v>15171</v>
      </c>
      <c r="E83" s="65">
        <f>E79+E80-E73</f>
        <v>13616</v>
      </c>
      <c r="F83" s="65">
        <f>F79+F80-F73</f>
        <v>14696</v>
      </c>
      <c r="G83" s="65">
        <f>G79+G80-G73</f>
        <v>22779</v>
      </c>
    </row>
    <row r="85" spans="1:7" ht="15" customHeight="1" x14ac:dyDescent="0.45">
      <c r="A85" s="47" t="s">
        <v>489</v>
      </c>
    </row>
    <row r="86" spans="1:7" ht="15" customHeight="1" x14ac:dyDescent="0.45">
      <c r="A86" s="45" t="s">
        <v>177</v>
      </c>
      <c r="B86" s="46" t="s">
        <v>48</v>
      </c>
      <c r="C86" s="46" t="s">
        <v>108</v>
      </c>
      <c r="D86" s="46" t="s">
        <v>109</v>
      </c>
      <c r="E86" s="46" t="s">
        <v>110</v>
      </c>
      <c r="F86" s="46" t="s">
        <v>111</v>
      </c>
      <c r="G86" s="46" t="s">
        <v>24</v>
      </c>
    </row>
    <row r="87" spans="1:7" ht="15" customHeight="1" x14ac:dyDescent="0.45">
      <c r="A87" s="48" t="s">
        <v>192</v>
      </c>
      <c r="B87" s="49" t="s">
        <v>59</v>
      </c>
      <c r="C87" s="50">
        <v>-1018</v>
      </c>
      <c r="D87" s="50">
        <v>-693</v>
      </c>
      <c r="E87" s="50">
        <v>-844</v>
      </c>
      <c r="F87" s="50">
        <v>646</v>
      </c>
      <c r="G87" s="50">
        <v>308</v>
      </c>
    </row>
    <row r="88" spans="1:7" ht="15" customHeight="1" x14ac:dyDescent="0.45">
      <c r="A88" s="52" t="s">
        <v>193</v>
      </c>
      <c r="B88" s="49" t="s">
        <v>59</v>
      </c>
      <c r="C88" s="54">
        <v>-5245</v>
      </c>
      <c r="D88" s="54">
        <v>-7971</v>
      </c>
      <c r="E88" s="54">
        <v>797</v>
      </c>
      <c r="F88" s="54">
        <v>-348</v>
      </c>
      <c r="G88" s="54">
        <v>-7993</v>
      </c>
    </row>
    <row r="89" spans="1:7" ht="15" customHeight="1" x14ac:dyDescent="0.45">
      <c r="A89" s="52" t="s">
        <v>194</v>
      </c>
      <c r="B89" s="49" t="s">
        <v>59</v>
      </c>
      <c r="C89" s="54">
        <v>6402</v>
      </c>
      <c r="D89" s="54">
        <v>8750</v>
      </c>
      <c r="E89" s="54">
        <v>-127</v>
      </c>
      <c r="F89" s="54">
        <v>-207</v>
      </c>
      <c r="G89" s="54">
        <v>8042</v>
      </c>
    </row>
    <row r="90" spans="1:7" ht="15" customHeight="1" x14ac:dyDescent="0.45">
      <c r="A90" s="48" t="s">
        <v>195</v>
      </c>
      <c r="B90" s="49" t="s">
        <v>59</v>
      </c>
      <c r="C90" s="57">
        <f>SUM(C87:C89)</f>
        <v>139</v>
      </c>
      <c r="D90" s="57">
        <f>SUM(D87:D89)</f>
        <v>86</v>
      </c>
      <c r="E90" s="57">
        <f>SUM(E87:E89)</f>
        <v>-174</v>
      </c>
      <c r="F90" s="57">
        <f>SUM(F87:F89)</f>
        <v>91</v>
      </c>
      <c r="G90" s="57">
        <f>SUM(G87:G89)</f>
        <v>357</v>
      </c>
    </row>
    <row r="91" spans="1:7" ht="15" customHeight="1" x14ac:dyDescent="0.45">
      <c r="A91" s="48" t="s">
        <v>196</v>
      </c>
      <c r="B91" s="49" t="s">
        <v>59</v>
      </c>
      <c r="C91" s="50">
        <v>-1028</v>
      </c>
      <c r="D91" s="50">
        <v>-750</v>
      </c>
      <c r="E91" s="50">
        <v>-945</v>
      </c>
      <c r="F91" s="50">
        <v>444</v>
      </c>
      <c r="G91" s="50">
        <v>-623</v>
      </c>
    </row>
    <row r="92" spans="1:7" ht="15" customHeight="1" x14ac:dyDescent="0.45">
      <c r="A92" s="52" t="s">
        <v>197</v>
      </c>
      <c r="B92" s="49" t="s">
        <v>59</v>
      </c>
      <c r="C92" s="65">
        <f>C87-C91</f>
        <v>10</v>
      </c>
      <c r="D92" s="65">
        <f>D87-D91</f>
        <v>57</v>
      </c>
      <c r="E92" s="65">
        <f>E87-E91</f>
        <v>101</v>
      </c>
      <c r="F92" s="65">
        <f>F87-F91</f>
        <v>202</v>
      </c>
      <c r="G92" s="65">
        <f>G87-G91</f>
        <v>931</v>
      </c>
    </row>
    <row r="93" spans="1:7" ht="15" customHeight="1" x14ac:dyDescent="0.45">
      <c r="A93" s="52" t="s">
        <v>198</v>
      </c>
      <c r="B93" s="49" t="s">
        <v>68</v>
      </c>
      <c r="F93" s="53">
        <f>F87/F12</f>
        <v>15.023255813953488</v>
      </c>
      <c r="G93" s="53">
        <f>G87/G12</f>
        <v>0.48351648351648352</v>
      </c>
    </row>
    <row r="95" spans="1:7" ht="15" customHeight="1" x14ac:dyDescent="0.45">
      <c r="A95" s="47" t="s">
        <v>490</v>
      </c>
    </row>
    <row r="96" spans="1:7" ht="15" customHeight="1" x14ac:dyDescent="0.45">
      <c r="A96" s="45" t="s">
        <v>199</v>
      </c>
      <c r="B96" s="46" t="s">
        <v>48</v>
      </c>
      <c r="C96" s="46" t="s">
        <v>108</v>
      </c>
      <c r="D96" s="46" t="s">
        <v>109</v>
      </c>
      <c r="E96" s="46" t="s">
        <v>110</v>
      </c>
      <c r="F96" s="46" t="s">
        <v>111</v>
      </c>
      <c r="G96" s="46" t="s">
        <v>24</v>
      </c>
    </row>
    <row r="97" spans="1:7" ht="15" customHeight="1" x14ac:dyDescent="0.45">
      <c r="A97" s="52" t="s">
        <v>200</v>
      </c>
      <c r="B97" s="49" t="s">
        <v>98</v>
      </c>
      <c r="C97" s="68">
        <v>28</v>
      </c>
      <c r="D97" s="68">
        <v>28</v>
      </c>
      <c r="E97" s="68">
        <v>22</v>
      </c>
      <c r="F97" s="68">
        <v>11</v>
      </c>
      <c r="G97" s="68">
        <v>12</v>
      </c>
    </row>
    <row r="98" spans="1:7" ht="15" customHeight="1" x14ac:dyDescent="0.45">
      <c r="A98" s="52" t="s">
        <v>201</v>
      </c>
      <c r="B98" s="49" t="s">
        <v>98</v>
      </c>
      <c r="C98" s="68">
        <v>24</v>
      </c>
      <c r="D98" s="68">
        <v>14</v>
      </c>
      <c r="E98" s="68">
        <v>24</v>
      </c>
      <c r="F98" s="68">
        <v>24</v>
      </c>
      <c r="G98" s="68">
        <v>35</v>
      </c>
    </row>
    <row r="99" spans="1:7" ht="15" customHeight="1" x14ac:dyDescent="0.45">
      <c r="A99" s="52" t="s">
        <v>202</v>
      </c>
      <c r="B99" s="49" t="s">
        <v>98</v>
      </c>
      <c r="C99" s="68">
        <v>565</v>
      </c>
      <c r="D99" s="68">
        <v>298</v>
      </c>
      <c r="E99" s="68">
        <v>178</v>
      </c>
      <c r="F99" s="68">
        <v>112</v>
      </c>
      <c r="G99" s="68">
        <v>101</v>
      </c>
    </row>
    <row r="100" spans="1:7" ht="15" customHeight="1" x14ac:dyDescent="0.45">
      <c r="A100" s="48" t="s">
        <v>203</v>
      </c>
      <c r="B100" s="49" t="s">
        <v>98</v>
      </c>
      <c r="C100" s="69">
        <f>C97+C98-C99</f>
        <v>-513</v>
      </c>
      <c r="D100" s="69">
        <f>D97+D98-D99</f>
        <v>-256</v>
      </c>
      <c r="E100" s="69">
        <f>E97+E98-E99</f>
        <v>-132</v>
      </c>
      <c r="F100" s="69">
        <f>F97+F98-F99</f>
        <v>-77</v>
      </c>
      <c r="G100" s="69">
        <f>G97+G98-G99</f>
        <v>-54</v>
      </c>
    </row>
    <row r="101" spans="1:7" ht="15" customHeight="1" x14ac:dyDescent="0.45">
      <c r="A101" s="52" t="s">
        <v>204</v>
      </c>
      <c r="B101" s="49" t="s">
        <v>98</v>
      </c>
      <c r="C101" s="68">
        <v>96</v>
      </c>
      <c r="D101" s="68">
        <v>316</v>
      </c>
      <c r="E101" s="68">
        <v>200</v>
      </c>
      <c r="F101" s="68">
        <v>41</v>
      </c>
      <c r="G101" s="68">
        <v>45</v>
      </c>
    </row>
    <row r="102" spans="1:7" ht="15" customHeight="1" x14ac:dyDescent="0.45">
      <c r="A102" s="52" t="s">
        <v>205</v>
      </c>
      <c r="B102" s="49" t="s">
        <v>68</v>
      </c>
      <c r="C102" s="53">
        <f>C92/C7</f>
        <v>5.0150451354062184E-3</v>
      </c>
      <c r="D102" s="53">
        <f>D92/D7</f>
        <v>1.3597328244274809E-2</v>
      </c>
      <c r="E102" s="53">
        <f>E92/E7</f>
        <v>1.4267551914112163E-2</v>
      </c>
      <c r="F102" s="53">
        <f>F92/F7</f>
        <v>1.6674921578339112E-2</v>
      </c>
      <c r="G102" s="53">
        <f>G92/G7</f>
        <v>4.5991206836931288E-2</v>
      </c>
    </row>
    <row r="103" spans="1:7" ht="15" customHeight="1" x14ac:dyDescent="0.45">
      <c r="A103" s="52" t="s">
        <v>206</v>
      </c>
      <c r="B103" s="49" t="s">
        <v>68</v>
      </c>
      <c r="C103" s="70">
        <v>-0.12</v>
      </c>
      <c r="D103" s="70">
        <v>-0.13</v>
      </c>
      <c r="E103" s="70">
        <v>-0.06</v>
      </c>
      <c r="F103" s="70">
        <v>0.01</v>
      </c>
      <c r="G103" s="70">
        <v>0.03</v>
      </c>
    </row>
    <row r="104" spans="1:7" ht="15" customHeight="1" x14ac:dyDescent="0.45">
      <c r="A104" s="52" t="s">
        <v>207</v>
      </c>
      <c r="B104" s="49" t="s">
        <v>68</v>
      </c>
      <c r="D104" s="53">
        <f>D7/C7-1</f>
        <v>1.1023069207622869</v>
      </c>
      <c r="E104" s="53">
        <f>E7/D7-1</f>
        <v>0.68869274809160297</v>
      </c>
      <c r="F104" s="53">
        <f>F7/E7-1</f>
        <v>0.71125865235202723</v>
      </c>
      <c r="G104" s="53">
        <f>G7/F7-1</f>
        <v>0.67104176985306263</v>
      </c>
    </row>
    <row r="105" spans="1:7" ht="15" customHeight="1" x14ac:dyDescent="0.45">
      <c r="A105" s="52" t="s">
        <v>208</v>
      </c>
      <c r="B105" s="49" t="s">
        <v>98</v>
      </c>
      <c r="G105" s="71">
        <f>Ratios!F34</f>
        <v>-8.0000000000000036</v>
      </c>
    </row>
    <row r="106" spans="1:7" ht="73.5" customHeight="1" x14ac:dyDescent="0.45">
      <c r="A106" s="4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2937"/>
    <pageSetUpPr fitToPage="1"/>
  </sheetPr>
  <dimension ref="A1:L49"/>
  <sheetViews>
    <sheetView showGridLines="0" zoomScaleNormal="100" workbookViewId="0">
      <pane xSplit="3" ySplit="5" topLeftCell="D28" activePane="bottomRight" state="frozen"/>
      <selection pane="topRight" activeCell="C1" sqref="C1"/>
      <selection pane="bottomLeft" activeCell="A6" sqref="A6"/>
      <selection pane="bottomRight" activeCell="D46" sqref="D46"/>
    </sheetView>
  </sheetViews>
  <sheetFormatPr defaultColWidth="8.6640625" defaultRowHeight="14.25" x14ac:dyDescent="0.45"/>
  <cols>
    <col min="1" max="1" width="3.19921875" style="41" customWidth="1"/>
    <col min="2" max="2" width="56" style="41" customWidth="1"/>
    <col min="3" max="3" width="11" style="41" customWidth="1"/>
    <col min="4" max="12" width="13" style="41" customWidth="1"/>
    <col min="13" max="16384" width="8.6640625" style="41"/>
  </cols>
  <sheetData>
    <row r="1" spans="1:12" ht="15" customHeight="1" x14ac:dyDescent="0.45">
      <c r="B1" s="42"/>
    </row>
    <row r="2" spans="1:12" ht="19.5" customHeight="1" x14ac:dyDescent="0.45">
      <c r="B2" s="43" t="s">
        <v>493</v>
      </c>
    </row>
    <row r="3" spans="1:12" ht="15" customHeight="1" x14ac:dyDescent="0.45">
      <c r="B3" s="86" t="s">
        <v>209</v>
      </c>
    </row>
    <row r="5" spans="1:12" ht="15" customHeight="1" x14ac:dyDescent="0.45">
      <c r="A5" s="41" t="s">
        <v>471</v>
      </c>
      <c r="B5" s="45" t="s">
        <v>210</v>
      </c>
      <c r="C5" s="46" t="s">
        <v>48</v>
      </c>
      <c r="D5" s="46" t="s">
        <v>24</v>
      </c>
      <c r="E5" s="46" t="s">
        <v>25</v>
      </c>
      <c r="F5" s="46" t="s">
        <v>26</v>
      </c>
      <c r="G5" s="46" t="s">
        <v>27</v>
      </c>
      <c r="H5" s="46" t="s">
        <v>28</v>
      </c>
      <c r="I5" s="46" t="s">
        <v>49</v>
      </c>
      <c r="J5" s="46" t="s">
        <v>50</v>
      </c>
      <c r="K5" s="46" t="s">
        <v>51</v>
      </c>
      <c r="L5" s="46" t="s">
        <v>52</v>
      </c>
    </row>
    <row r="6" spans="1:12" ht="15" customHeight="1" x14ac:dyDescent="0.45">
      <c r="B6" s="47" t="s">
        <v>491</v>
      </c>
    </row>
    <row r="7" spans="1:12" ht="15" customHeight="1" x14ac:dyDescent="0.45">
      <c r="B7" s="52" t="s">
        <v>211</v>
      </c>
      <c r="C7" s="49" t="s">
        <v>64</v>
      </c>
      <c r="D7" s="54">
        <v>526</v>
      </c>
      <c r="E7" s="65">
        <f t="shared" ref="E7:L7" si="0">D9</f>
        <v>1301</v>
      </c>
      <c r="F7" s="65">
        <f t="shared" si="0"/>
        <v>2300</v>
      </c>
      <c r="G7" s="65">
        <f t="shared" si="0"/>
        <v>3300</v>
      </c>
      <c r="H7" s="65">
        <f t="shared" si="0"/>
        <v>4300</v>
      </c>
      <c r="I7" s="65">
        <f t="shared" si="0"/>
        <v>5200</v>
      </c>
      <c r="J7" s="65">
        <f t="shared" si="0"/>
        <v>6000</v>
      </c>
      <c r="K7" s="65">
        <f t="shared" si="0"/>
        <v>6700</v>
      </c>
      <c r="L7" s="65">
        <f t="shared" si="0"/>
        <v>7300</v>
      </c>
    </row>
    <row r="8" spans="1:12" ht="15" customHeight="1" x14ac:dyDescent="0.45">
      <c r="B8" s="52" t="s">
        <v>212</v>
      </c>
      <c r="C8" s="49" t="s">
        <v>64</v>
      </c>
      <c r="D8" s="65">
        <f t="shared" ref="D8:L8" si="1">D9-D7</f>
        <v>775</v>
      </c>
      <c r="E8" s="65">
        <f t="shared" si="1"/>
        <v>999</v>
      </c>
      <c r="F8" s="65">
        <f t="shared" si="1"/>
        <v>1000</v>
      </c>
      <c r="G8" s="65">
        <f t="shared" si="1"/>
        <v>1000</v>
      </c>
      <c r="H8" s="65">
        <f t="shared" si="1"/>
        <v>900</v>
      </c>
      <c r="I8" s="65">
        <f t="shared" si="1"/>
        <v>800</v>
      </c>
      <c r="J8" s="65">
        <f t="shared" si="1"/>
        <v>700</v>
      </c>
      <c r="K8" s="65">
        <f t="shared" si="1"/>
        <v>600</v>
      </c>
      <c r="L8" s="65">
        <f t="shared" si="1"/>
        <v>500</v>
      </c>
    </row>
    <row r="9" spans="1:12" ht="15" customHeight="1" x14ac:dyDescent="0.45">
      <c r="B9" s="52" t="s">
        <v>63</v>
      </c>
      <c r="C9" s="49" t="s">
        <v>64</v>
      </c>
      <c r="D9" s="55">
        <f>Assumptions!D14</f>
        <v>1301</v>
      </c>
      <c r="E9" s="55">
        <f>Assumptions!E14</f>
        <v>2300</v>
      </c>
      <c r="F9" s="55">
        <f>Assumptions!F14</f>
        <v>3300</v>
      </c>
      <c r="G9" s="55">
        <f>Assumptions!G14</f>
        <v>4300</v>
      </c>
      <c r="H9" s="55">
        <f>Assumptions!H14</f>
        <v>5200</v>
      </c>
      <c r="I9" s="55">
        <f>Assumptions!I14</f>
        <v>6000</v>
      </c>
      <c r="J9" s="55">
        <f>Assumptions!J14</f>
        <v>6700</v>
      </c>
      <c r="K9" s="55">
        <f>Assumptions!K14</f>
        <v>7300</v>
      </c>
      <c r="L9" s="55">
        <f>Assumptions!L14</f>
        <v>7800</v>
      </c>
    </row>
    <row r="10" spans="1:12" ht="15" customHeight="1" x14ac:dyDescent="0.45">
      <c r="B10" s="52" t="s">
        <v>213</v>
      </c>
      <c r="C10" s="49" t="s">
        <v>64</v>
      </c>
      <c r="D10" s="87">
        <f t="shared" ref="D10:L10" si="2">(D7+D9)/2</f>
        <v>913.5</v>
      </c>
      <c r="E10" s="87">
        <f t="shared" si="2"/>
        <v>1800.5</v>
      </c>
      <c r="F10" s="87">
        <f t="shared" si="2"/>
        <v>2800</v>
      </c>
      <c r="G10" s="87">
        <f t="shared" si="2"/>
        <v>3800</v>
      </c>
      <c r="H10" s="87">
        <f t="shared" si="2"/>
        <v>4750</v>
      </c>
      <c r="I10" s="87">
        <f t="shared" si="2"/>
        <v>5600</v>
      </c>
      <c r="J10" s="87">
        <f t="shared" si="2"/>
        <v>6350</v>
      </c>
      <c r="K10" s="87">
        <f t="shared" si="2"/>
        <v>7000</v>
      </c>
      <c r="L10" s="87">
        <f t="shared" si="2"/>
        <v>7550</v>
      </c>
    </row>
    <row r="11" spans="1:12" ht="15" customHeight="1" x14ac:dyDescent="0.45">
      <c r="B11" s="52" t="s">
        <v>214</v>
      </c>
      <c r="C11" s="49" t="s">
        <v>66</v>
      </c>
      <c r="D11" s="63">
        <f>Assumptions!D15</f>
        <v>6.71</v>
      </c>
      <c r="E11" s="63">
        <f>Assumptions!E15</f>
        <v>7.39</v>
      </c>
      <c r="F11" s="63">
        <f>Assumptions!F15</f>
        <v>7.9</v>
      </c>
      <c r="G11" s="63">
        <f>Assumptions!G15</f>
        <v>8.5</v>
      </c>
      <c r="H11" s="63">
        <f>Assumptions!H15</f>
        <v>9.15</v>
      </c>
      <c r="I11" s="63">
        <f>Assumptions!I15</f>
        <v>9.8000000000000007</v>
      </c>
      <c r="J11" s="63">
        <f>Assumptions!J15</f>
        <v>10.4</v>
      </c>
      <c r="K11" s="63">
        <f>Assumptions!K15</f>
        <v>10.95</v>
      </c>
      <c r="L11" s="63">
        <f>Assumptions!L15</f>
        <v>11.45</v>
      </c>
    </row>
    <row r="12" spans="1:12" ht="15" customHeight="1" x14ac:dyDescent="0.45">
      <c r="B12" s="48" t="s">
        <v>215</v>
      </c>
      <c r="C12" s="49" t="s">
        <v>59</v>
      </c>
      <c r="D12" s="57">
        <f t="shared" ref="D12:L12" si="3">D10*365*D11/100</f>
        <v>22372.985249999998</v>
      </c>
      <c r="E12" s="57">
        <f t="shared" si="3"/>
        <v>48565.786749999999</v>
      </c>
      <c r="F12" s="57">
        <f t="shared" si="3"/>
        <v>80738</v>
      </c>
      <c r="G12" s="57">
        <f t="shared" si="3"/>
        <v>117895</v>
      </c>
      <c r="H12" s="57">
        <f t="shared" si="3"/>
        <v>158638.125</v>
      </c>
      <c r="I12" s="57">
        <f t="shared" si="3"/>
        <v>200312</v>
      </c>
      <c r="J12" s="57">
        <f t="shared" si="3"/>
        <v>241046</v>
      </c>
      <c r="K12" s="57">
        <f t="shared" si="3"/>
        <v>279772.5</v>
      </c>
      <c r="L12" s="57">
        <f t="shared" si="3"/>
        <v>315533.37499999994</v>
      </c>
    </row>
    <row r="13" spans="1:12" ht="15" customHeight="1" x14ac:dyDescent="0.45">
      <c r="B13" s="52" t="s">
        <v>216</v>
      </c>
      <c r="C13" s="49" t="s">
        <v>68</v>
      </c>
      <c r="E13" s="53">
        <f t="shared" ref="E13:L13" si="4">E12/D12-1</f>
        <v>1.170733418330931</v>
      </c>
      <c r="F13" s="53">
        <f t="shared" si="4"/>
        <v>0.66244604284105413</v>
      </c>
      <c r="G13" s="53">
        <f t="shared" si="4"/>
        <v>0.46021699819168171</v>
      </c>
      <c r="H13" s="53">
        <f t="shared" si="4"/>
        <v>0.34558823529411775</v>
      </c>
      <c r="I13" s="53">
        <f t="shared" si="4"/>
        <v>0.26269772792637336</v>
      </c>
      <c r="J13" s="53">
        <f t="shared" si="4"/>
        <v>0.20335276967930027</v>
      </c>
      <c r="K13" s="53">
        <f t="shared" si="4"/>
        <v>0.16066020593579644</v>
      </c>
      <c r="L13" s="53">
        <f t="shared" si="4"/>
        <v>0.12782126549249817</v>
      </c>
    </row>
    <row r="14" spans="1:12" ht="15" customHeight="1" x14ac:dyDescent="0.45">
      <c r="B14" s="52" t="s">
        <v>67</v>
      </c>
      <c r="C14" s="49" t="s">
        <v>68</v>
      </c>
      <c r="D14" s="88">
        <f>Assumptions!D16</f>
        <v>0.23269999999999999</v>
      </c>
      <c r="E14" s="88">
        <f>Assumptions!E16</f>
        <v>0.77800000000000002</v>
      </c>
      <c r="F14" s="88">
        <f>Assumptions!F16</f>
        <v>0.92</v>
      </c>
      <c r="G14" s="88">
        <f>Assumptions!G16</f>
        <v>0.92</v>
      </c>
      <c r="H14" s="88">
        <f>Assumptions!H16</f>
        <v>0.92</v>
      </c>
      <c r="I14" s="88">
        <f>Assumptions!I16</f>
        <v>0.92</v>
      </c>
      <c r="J14" s="88">
        <f>Assumptions!J16</f>
        <v>0.92</v>
      </c>
      <c r="K14" s="88">
        <f>Assumptions!K16</f>
        <v>0.92</v>
      </c>
      <c r="L14" s="88">
        <f>Assumptions!L16</f>
        <v>0.92</v>
      </c>
    </row>
    <row r="15" spans="1:12" ht="15" customHeight="1" x14ac:dyDescent="0.45">
      <c r="B15" s="48" t="s">
        <v>217</v>
      </c>
      <c r="C15" s="49" t="s">
        <v>59</v>
      </c>
      <c r="D15" s="89">
        <f t="shared" ref="D15:L15" si="5">D12*D14</f>
        <v>5206.1936676749992</v>
      </c>
      <c r="E15" s="89">
        <f t="shared" si="5"/>
        <v>37784.182091499999</v>
      </c>
      <c r="F15" s="89">
        <f t="shared" si="5"/>
        <v>74278.960000000006</v>
      </c>
      <c r="G15" s="89">
        <f t="shared" si="5"/>
        <v>108463.40000000001</v>
      </c>
      <c r="H15" s="89">
        <f t="shared" si="5"/>
        <v>145947.07500000001</v>
      </c>
      <c r="I15" s="89">
        <f t="shared" si="5"/>
        <v>184287.04</v>
      </c>
      <c r="J15" s="89">
        <f t="shared" si="5"/>
        <v>221762.32</v>
      </c>
      <c r="K15" s="89">
        <f t="shared" si="5"/>
        <v>257390.7</v>
      </c>
      <c r="L15" s="89">
        <f t="shared" si="5"/>
        <v>290290.70499999996</v>
      </c>
    </row>
    <row r="16" spans="1:12" ht="15" customHeight="1" x14ac:dyDescent="0.45">
      <c r="B16" s="52" t="s">
        <v>69</v>
      </c>
      <c r="C16" s="49" t="s">
        <v>68</v>
      </c>
      <c r="D16" s="88">
        <f>Assumptions!D17</f>
        <v>-3.27E-2</v>
      </c>
      <c r="E16" s="88">
        <f>Assumptions!E17</f>
        <v>-6.0000000000000001E-3</v>
      </c>
      <c r="F16" s="88">
        <f>Assumptions!F17</f>
        <v>0.02</v>
      </c>
      <c r="G16" s="88">
        <f>Assumptions!G17</f>
        <v>3.4000000000000002E-2</v>
      </c>
      <c r="H16" s="88">
        <f>Assumptions!H17</f>
        <v>4.3999999999999997E-2</v>
      </c>
      <c r="I16" s="88">
        <f>Assumptions!I17</f>
        <v>5.0999999999999997E-2</v>
      </c>
      <c r="J16" s="88">
        <f>Assumptions!J17</f>
        <v>5.5E-2</v>
      </c>
      <c r="K16" s="88">
        <f>Assumptions!K17</f>
        <v>5.8000000000000003E-2</v>
      </c>
      <c r="L16" s="88">
        <f>Assumptions!L17</f>
        <v>0.06</v>
      </c>
    </row>
    <row r="17" spans="1:12" ht="15" customHeight="1" x14ac:dyDescent="0.45">
      <c r="B17" s="48" t="s">
        <v>218</v>
      </c>
      <c r="C17" s="49" t="s">
        <v>59</v>
      </c>
      <c r="D17" s="89">
        <f t="shared" ref="D17:L17" si="6">D12*D16</f>
        <v>-731.59661767499995</v>
      </c>
      <c r="E17" s="89">
        <f t="shared" si="6"/>
        <v>-291.39472050000001</v>
      </c>
      <c r="F17" s="89">
        <f t="shared" si="6"/>
        <v>1614.76</v>
      </c>
      <c r="G17" s="89">
        <f t="shared" si="6"/>
        <v>4008.4300000000003</v>
      </c>
      <c r="H17" s="89">
        <f t="shared" si="6"/>
        <v>6980.0774999999994</v>
      </c>
      <c r="I17" s="89">
        <f t="shared" si="6"/>
        <v>10215.911999999998</v>
      </c>
      <c r="J17" s="89">
        <f t="shared" si="6"/>
        <v>13257.53</v>
      </c>
      <c r="K17" s="89">
        <f t="shared" si="6"/>
        <v>16226.805</v>
      </c>
      <c r="L17" s="89">
        <f t="shared" si="6"/>
        <v>18932.002499999995</v>
      </c>
    </row>
    <row r="19" spans="1:12" ht="15" customHeight="1" x14ac:dyDescent="0.45">
      <c r="A19" s="41" t="s">
        <v>471</v>
      </c>
      <c r="B19" s="47" t="s">
        <v>70</v>
      </c>
    </row>
    <row r="20" spans="1:12" ht="15" customHeight="1" x14ac:dyDescent="0.45">
      <c r="B20" s="48" t="s">
        <v>219</v>
      </c>
      <c r="C20" s="49" t="s">
        <v>59</v>
      </c>
      <c r="D20" s="51">
        <f>Assumptions!D20</f>
        <v>33300</v>
      </c>
      <c r="E20" s="51">
        <f>Assumptions!E20</f>
        <v>38300</v>
      </c>
      <c r="F20" s="89">
        <f>E20*(1+Assumptions!F21)</f>
        <v>44811</v>
      </c>
      <c r="G20" s="89">
        <f>F20*(1+Assumptions!G21)</f>
        <v>52428.869999999995</v>
      </c>
      <c r="H20" s="89">
        <f>G20*(1+Assumptions!H21)</f>
        <v>60293.200499999992</v>
      </c>
      <c r="I20" s="89">
        <f>H20*(1+Assumptions!I21)</f>
        <v>68131.316564999986</v>
      </c>
      <c r="J20" s="89">
        <f>I20*(1+Assumptions!J21)</f>
        <v>75625.761387149993</v>
      </c>
      <c r="K20" s="89">
        <f>J20*(1+Assumptions!K21)</f>
        <v>83188.337525865005</v>
      </c>
      <c r="L20" s="89">
        <f>K20*(1+Assumptions!L21)</f>
        <v>90675.287903192861</v>
      </c>
    </row>
    <row r="21" spans="1:12" ht="15" customHeight="1" x14ac:dyDescent="0.45">
      <c r="B21" s="52" t="s">
        <v>216</v>
      </c>
      <c r="C21" s="49" t="s">
        <v>68</v>
      </c>
      <c r="E21" s="53">
        <f t="shared" ref="E21:L21" si="7">E20/D20-1</f>
        <v>0.1501501501501501</v>
      </c>
      <c r="F21" s="53">
        <f t="shared" si="7"/>
        <v>0.16999999999999993</v>
      </c>
      <c r="G21" s="53">
        <f t="shared" si="7"/>
        <v>0.16999999999999993</v>
      </c>
      <c r="H21" s="53">
        <f t="shared" si="7"/>
        <v>0.14999999999999991</v>
      </c>
      <c r="I21" s="53">
        <f t="shared" si="7"/>
        <v>0.12999999999999989</v>
      </c>
      <c r="J21" s="53">
        <f t="shared" si="7"/>
        <v>0.1100000000000001</v>
      </c>
      <c r="K21" s="53">
        <f t="shared" si="7"/>
        <v>0.10000000000000009</v>
      </c>
      <c r="L21" s="53">
        <f t="shared" si="7"/>
        <v>9.000000000000008E-2</v>
      </c>
    </row>
    <row r="22" spans="1:12" ht="15" customHeight="1" x14ac:dyDescent="0.45">
      <c r="B22" s="52" t="s">
        <v>67</v>
      </c>
      <c r="C22" s="49" t="s">
        <v>68</v>
      </c>
      <c r="D22" s="88">
        <f>Assumptions!D22</f>
        <v>0.24259</v>
      </c>
      <c r="E22" s="88">
        <f>Assumptions!E22</f>
        <v>0.26500000000000001</v>
      </c>
      <c r="F22" s="88">
        <f>Assumptions!F22</f>
        <v>0.27500000000000002</v>
      </c>
      <c r="G22" s="88">
        <f>Assumptions!G22</f>
        <v>0.28000000000000003</v>
      </c>
      <c r="H22" s="88">
        <f>Assumptions!H22</f>
        <v>0.28499999999999998</v>
      </c>
      <c r="I22" s="88">
        <f>Assumptions!I22</f>
        <v>0.28999999999999998</v>
      </c>
      <c r="J22" s="88">
        <f>Assumptions!J22</f>
        <v>0.28999999999999998</v>
      </c>
      <c r="K22" s="88">
        <f>Assumptions!K22</f>
        <v>0.28999999999999998</v>
      </c>
      <c r="L22" s="88">
        <f>Assumptions!L22</f>
        <v>0.28999999999999998</v>
      </c>
    </row>
    <row r="23" spans="1:12" ht="15" customHeight="1" x14ac:dyDescent="0.45">
      <c r="B23" s="48" t="s">
        <v>220</v>
      </c>
      <c r="C23" s="49" t="s">
        <v>59</v>
      </c>
      <c r="D23" s="89">
        <f t="shared" ref="D23:L23" si="8">D20*D22</f>
        <v>8078.2470000000003</v>
      </c>
      <c r="E23" s="89">
        <f t="shared" si="8"/>
        <v>10149.5</v>
      </c>
      <c r="F23" s="89">
        <f t="shared" si="8"/>
        <v>12323.025000000001</v>
      </c>
      <c r="G23" s="89">
        <f t="shared" si="8"/>
        <v>14680.0836</v>
      </c>
      <c r="H23" s="89">
        <f t="shared" si="8"/>
        <v>17183.562142499995</v>
      </c>
      <c r="I23" s="89">
        <f t="shared" si="8"/>
        <v>19758.081803849997</v>
      </c>
      <c r="J23" s="89">
        <f t="shared" si="8"/>
        <v>21931.470802273496</v>
      </c>
      <c r="K23" s="89">
        <f t="shared" si="8"/>
        <v>24124.61788250085</v>
      </c>
      <c r="L23" s="89">
        <f t="shared" si="8"/>
        <v>26295.833491925929</v>
      </c>
    </row>
    <row r="24" spans="1:12" ht="15" customHeight="1" x14ac:dyDescent="0.45">
      <c r="B24" s="52" t="s">
        <v>69</v>
      </c>
      <c r="C24" s="49" t="s">
        <v>68</v>
      </c>
      <c r="D24" s="88">
        <f>Assumptions!D23</f>
        <v>4.8000000000000001E-2</v>
      </c>
      <c r="E24" s="88">
        <f>Assumptions!E23</f>
        <v>5.2999999999999999E-2</v>
      </c>
      <c r="F24" s="88">
        <f>Assumptions!F23</f>
        <v>5.8999999999999997E-2</v>
      </c>
      <c r="G24" s="88">
        <f>Assumptions!G23</f>
        <v>6.4000000000000001E-2</v>
      </c>
      <c r="H24" s="88">
        <f>Assumptions!H23</f>
        <v>6.8000000000000005E-2</v>
      </c>
      <c r="I24" s="88">
        <f>Assumptions!I23</f>
        <v>7.0999999999999994E-2</v>
      </c>
      <c r="J24" s="88">
        <f>Assumptions!J23</f>
        <v>7.2999999999999995E-2</v>
      </c>
      <c r="K24" s="88">
        <f>Assumptions!K23</f>
        <v>7.3999999999999996E-2</v>
      </c>
      <c r="L24" s="88">
        <f>Assumptions!L23</f>
        <v>7.4999999999999997E-2</v>
      </c>
    </row>
    <row r="25" spans="1:12" ht="15" customHeight="1" x14ac:dyDescent="0.45">
      <c r="B25" s="48" t="s">
        <v>221</v>
      </c>
      <c r="C25" s="49" t="s">
        <v>59</v>
      </c>
      <c r="D25" s="89">
        <f t="shared" ref="D25:L25" si="9">D20*D24</f>
        <v>1598.4</v>
      </c>
      <c r="E25" s="89">
        <f t="shared" si="9"/>
        <v>2029.8999999999999</v>
      </c>
      <c r="F25" s="89">
        <f t="shared" si="9"/>
        <v>2643.8489999999997</v>
      </c>
      <c r="G25" s="89">
        <f t="shared" si="9"/>
        <v>3355.4476799999998</v>
      </c>
      <c r="H25" s="89">
        <f t="shared" si="9"/>
        <v>4099.9376339999999</v>
      </c>
      <c r="I25" s="89">
        <f t="shared" si="9"/>
        <v>4837.3234761149988</v>
      </c>
      <c r="J25" s="89">
        <f t="shared" si="9"/>
        <v>5520.6805812619496</v>
      </c>
      <c r="K25" s="89">
        <f t="shared" si="9"/>
        <v>6155.9369769140103</v>
      </c>
      <c r="L25" s="89">
        <f t="shared" si="9"/>
        <v>6800.6465927394647</v>
      </c>
    </row>
    <row r="27" spans="1:12" ht="15" customHeight="1" x14ac:dyDescent="0.45">
      <c r="A27" s="41" t="s">
        <v>471</v>
      </c>
      <c r="B27" s="47" t="s">
        <v>222</v>
      </c>
    </row>
    <row r="28" spans="1:12" ht="15" customHeight="1" x14ac:dyDescent="0.45">
      <c r="B28" s="48" t="s">
        <v>223</v>
      </c>
      <c r="C28" s="49" t="s">
        <v>59</v>
      </c>
      <c r="D28" s="51">
        <f>Assumptions!D26</f>
        <v>6618</v>
      </c>
      <c r="E28" s="51">
        <f>Assumptions!E26</f>
        <v>9900</v>
      </c>
      <c r="F28" s="89">
        <f>E28*(1+Assumptions!F27)</f>
        <v>13860</v>
      </c>
      <c r="G28" s="89">
        <f>F28*(1+Assumptions!G27)</f>
        <v>18295.2</v>
      </c>
      <c r="H28" s="89">
        <f>G28*(1+Assumptions!H27)</f>
        <v>23051.952000000001</v>
      </c>
      <c r="I28" s="89">
        <f>H28*(1+Assumptions!I27)</f>
        <v>28123.381440000001</v>
      </c>
      <c r="J28" s="89">
        <f>I28*(1+Assumptions!J27)</f>
        <v>33185.590099200002</v>
      </c>
      <c r="K28" s="89">
        <f>J28*(1+Assumptions!K27)</f>
        <v>38163.428614080003</v>
      </c>
      <c r="L28" s="89">
        <f>K28*(1+Assumptions!L27)</f>
        <v>42743.040047769609</v>
      </c>
    </row>
    <row r="29" spans="1:12" ht="15" customHeight="1" x14ac:dyDescent="0.45">
      <c r="B29" s="52" t="s">
        <v>224</v>
      </c>
      <c r="C29" s="49" t="s">
        <v>59</v>
      </c>
      <c r="D29" s="65">
        <f>D28*Assumptions!D28</f>
        <v>731.28899999999999</v>
      </c>
      <c r="E29" s="65">
        <f>E28*Assumptions!E28</f>
        <v>1138.5</v>
      </c>
      <c r="F29" s="65">
        <f>F28*Assumptions!F28</f>
        <v>1663.2</v>
      </c>
      <c r="G29" s="65">
        <f>G28*Assumptions!G28</f>
        <v>2286.9</v>
      </c>
      <c r="H29" s="65">
        <f>H28*Assumptions!H28</f>
        <v>2950.649856</v>
      </c>
      <c r="I29" s="65">
        <f>I28*Assumptions!I28</f>
        <v>3656.0395872000004</v>
      </c>
      <c r="J29" s="65">
        <f>J28*Assumptions!J28</f>
        <v>4314.1267128960008</v>
      </c>
      <c r="K29" s="65">
        <f>K28*Assumptions!K28</f>
        <v>4961.245719830401</v>
      </c>
      <c r="L29" s="65">
        <f>L28*Assumptions!L28</f>
        <v>5556.5952062100496</v>
      </c>
    </row>
    <row r="30" spans="1:12" ht="15" customHeight="1" x14ac:dyDescent="0.45">
      <c r="B30" s="52" t="s">
        <v>225</v>
      </c>
      <c r="C30" s="49" t="s">
        <v>59</v>
      </c>
      <c r="D30" s="65">
        <f>D28*Assumptions!D29</f>
        <v>-33.090000000000003</v>
      </c>
      <c r="E30" s="65">
        <f>E28*Assumptions!E29</f>
        <v>-396</v>
      </c>
      <c r="F30" s="65">
        <f>F28*Assumptions!F29</f>
        <v>-138.6</v>
      </c>
      <c r="G30" s="65">
        <f>G28*Assumptions!G29</f>
        <v>274.428</v>
      </c>
      <c r="H30" s="65">
        <f>H28*Assumptions!H29</f>
        <v>691.55856000000006</v>
      </c>
      <c r="I30" s="65">
        <f>I28*Assumptions!I29</f>
        <v>1406.1690720000001</v>
      </c>
      <c r="J30" s="65">
        <f>J28*Assumptions!J29</f>
        <v>1825.2074554560002</v>
      </c>
      <c r="K30" s="65">
        <f>K28*Assumptions!K29</f>
        <v>2289.8057168447999</v>
      </c>
      <c r="L30" s="65">
        <f>L28*Assumptions!L29</f>
        <v>2564.5824028661764</v>
      </c>
    </row>
    <row r="31" spans="1:12" ht="15" customHeight="1" x14ac:dyDescent="0.45">
      <c r="B31" s="52" t="s">
        <v>226</v>
      </c>
      <c r="C31" s="49" t="s">
        <v>59</v>
      </c>
      <c r="D31" s="55">
        <f>Assumptions!D30</f>
        <v>6196</v>
      </c>
      <c r="E31" s="55">
        <f>Assumptions!E30</f>
        <v>5558</v>
      </c>
      <c r="F31" s="65">
        <f>E31*(1+Assumptions!F31)</f>
        <v>7003.08</v>
      </c>
      <c r="G31" s="65">
        <f>F31*(1+Assumptions!G31)</f>
        <v>8683.8191999999999</v>
      </c>
      <c r="H31" s="65">
        <f>G31*(1+Assumptions!H31)</f>
        <v>10420.58304</v>
      </c>
      <c r="I31" s="65">
        <f>H31*(1+Assumptions!I31)</f>
        <v>12192.082156799999</v>
      </c>
      <c r="J31" s="65">
        <f>I31*(1+Assumptions!J31)</f>
        <v>13898.973658752</v>
      </c>
      <c r="K31" s="65">
        <f>J31*(1+Assumptions!K31)</f>
        <v>15427.860761214721</v>
      </c>
      <c r="L31" s="65">
        <f>K31*(1+Assumptions!L31)</f>
        <v>16816.368229724048</v>
      </c>
    </row>
    <row r="32" spans="1:12" ht="15" customHeight="1" x14ac:dyDescent="0.45">
      <c r="B32" s="52" t="s">
        <v>227</v>
      </c>
      <c r="C32" s="49" t="s">
        <v>59</v>
      </c>
      <c r="D32" s="65">
        <f>D31*Assumptions!D32</f>
        <v>-55.763999999999996</v>
      </c>
      <c r="E32" s="65">
        <f>E31*Assumptions!E32</f>
        <v>0</v>
      </c>
      <c r="F32" s="65">
        <f>F31*Assumptions!F32</f>
        <v>105.0462</v>
      </c>
      <c r="G32" s="65">
        <f>G31*Assumptions!G32</f>
        <v>217.09548000000001</v>
      </c>
      <c r="H32" s="65">
        <f>H31*Assumptions!H32</f>
        <v>364.7204064</v>
      </c>
      <c r="I32" s="65">
        <f>I31*Assumptions!I32</f>
        <v>487.68328627199998</v>
      </c>
      <c r="J32" s="65">
        <f>J31*Assumptions!J32</f>
        <v>625.45381464384002</v>
      </c>
      <c r="K32" s="65">
        <f>K31*Assumptions!K32</f>
        <v>694.25373425466239</v>
      </c>
      <c r="L32" s="65">
        <f>L31*Assumptions!L32</f>
        <v>756.73657033758218</v>
      </c>
    </row>
    <row r="33" spans="1:12" ht="15" customHeight="1" x14ac:dyDescent="0.45">
      <c r="B33" s="52" t="s">
        <v>228</v>
      </c>
      <c r="C33" s="49" t="s">
        <v>59</v>
      </c>
      <c r="D33" s="55">
        <f>Assumptions!D33</f>
        <v>30</v>
      </c>
      <c r="E33" s="55">
        <f>Assumptions!E33</f>
        <v>40</v>
      </c>
      <c r="F33" s="55">
        <f>Assumptions!F33</f>
        <v>350</v>
      </c>
      <c r="G33" s="55">
        <f>Assumptions!G33</f>
        <v>700</v>
      </c>
      <c r="H33" s="55">
        <f>Assumptions!H33</f>
        <v>1100</v>
      </c>
      <c r="I33" s="55">
        <f>Assumptions!I33</f>
        <v>1500</v>
      </c>
      <c r="J33" s="55">
        <f>Assumptions!J33</f>
        <v>1900</v>
      </c>
      <c r="K33" s="55">
        <f>Assumptions!K33</f>
        <v>2200</v>
      </c>
      <c r="L33" s="55">
        <f>Assumptions!L33</f>
        <v>2500</v>
      </c>
    </row>
    <row r="34" spans="1:12" ht="15" customHeight="1" x14ac:dyDescent="0.45">
      <c r="B34" s="52" t="s">
        <v>229</v>
      </c>
      <c r="C34" s="49" t="s">
        <v>59</v>
      </c>
      <c r="D34" s="55">
        <f>Assumptions!D34</f>
        <v>-12</v>
      </c>
      <c r="E34" s="55">
        <f>Assumptions!E34</f>
        <v>-190</v>
      </c>
      <c r="F34" s="55">
        <f>Assumptions!F34</f>
        <v>-240</v>
      </c>
      <c r="G34" s="55">
        <f>Assumptions!G34</f>
        <v>-200</v>
      </c>
      <c r="H34" s="55">
        <f>Assumptions!H34</f>
        <v>-120</v>
      </c>
      <c r="I34" s="55">
        <f>Assumptions!I34</f>
        <v>-50</v>
      </c>
      <c r="J34" s="55">
        <f>Assumptions!J34</f>
        <v>0</v>
      </c>
      <c r="K34" s="55">
        <f>Assumptions!K34</f>
        <v>50</v>
      </c>
      <c r="L34" s="55">
        <f>Assumptions!L34</f>
        <v>100</v>
      </c>
    </row>
    <row r="36" spans="1:12" ht="15" customHeight="1" x14ac:dyDescent="0.45">
      <c r="A36" s="41" t="s">
        <v>471</v>
      </c>
      <c r="B36" s="47" t="s">
        <v>230</v>
      </c>
    </row>
    <row r="37" spans="1:12" ht="15" customHeight="1" x14ac:dyDescent="0.45">
      <c r="B37" s="52" t="s">
        <v>217</v>
      </c>
      <c r="D37" s="65">
        <f t="shared" ref="D37:L37" si="10">D15</f>
        <v>5206.1936676749992</v>
      </c>
      <c r="E37" s="65">
        <f t="shared" si="10"/>
        <v>37784.182091499999</v>
      </c>
      <c r="F37" s="65">
        <f t="shared" si="10"/>
        <v>74278.960000000006</v>
      </c>
      <c r="G37" s="65">
        <f t="shared" si="10"/>
        <v>108463.40000000001</v>
      </c>
      <c r="H37" s="65">
        <f t="shared" si="10"/>
        <v>145947.07500000001</v>
      </c>
      <c r="I37" s="65">
        <f t="shared" si="10"/>
        <v>184287.04</v>
      </c>
      <c r="J37" s="65">
        <f t="shared" si="10"/>
        <v>221762.32</v>
      </c>
      <c r="K37" s="65">
        <f t="shared" si="10"/>
        <v>257390.7</v>
      </c>
      <c r="L37" s="65">
        <f t="shared" si="10"/>
        <v>290290.70499999996</v>
      </c>
    </row>
    <row r="38" spans="1:12" ht="15" customHeight="1" x14ac:dyDescent="0.45">
      <c r="B38" s="52" t="s">
        <v>220</v>
      </c>
      <c r="D38" s="65">
        <f t="shared" ref="D38:L38" si="11">D23</f>
        <v>8078.2470000000003</v>
      </c>
      <c r="E38" s="65">
        <f t="shared" si="11"/>
        <v>10149.5</v>
      </c>
      <c r="F38" s="65">
        <f t="shared" si="11"/>
        <v>12323.025000000001</v>
      </c>
      <c r="G38" s="65">
        <f t="shared" si="11"/>
        <v>14680.0836</v>
      </c>
      <c r="H38" s="65">
        <f t="shared" si="11"/>
        <v>17183.562142499995</v>
      </c>
      <c r="I38" s="65">
        <f t="shared" si="11"/>
        <v>19758.081803849997</v>
      </c>
      <c r="J38" s="65">
        <f t="shared" si="11"/>
        <v>21931.470802273496</v>
      </c>
      <c r="K38" s="65">
        <f t="shared" si="11"/>
        <v>24124.61788250085</v>
      </c>
      <c r="L38" s="65">
        <f t="shared" si="11"/>
        <v>26295.833491925929</v>
      </c>
    </row>
    <row r="39" spans="1:12" ht="15" customHeight="1" x14ac:dyDescent="0.45">
      <c r="B39" s="52" t="s">
        <v>226</v>
      </c>
      <c r="D39" s="65">
        <f t="shared" ref="D39:L39" si="12">D31</f>
        <v>6196</v>
      </c>
      <c r="E39" s="65">
        <f t="shared" si="12"/>
        <v>5558</v>
      </c>
      <c r="F39" s="65">
        <f t="shared" si="12"/>
        <v>7003.08</v>
      </c>
      <c r="G39" s="65">
        <f t="shared" si="12"/>
        <v>8683.8191999999999</v>
      </c>
      <c r="H39" s="65">
        <f t="shared" si="12"/>
        <v>10420.58304</v>
      </c>
      <c r="I39" s="65">
        <f t="shared" si="12"/>
        <v>12192.082156799999</v>
      </c>
      <c r="J39" s="65">
        <f t="shared" si="12"/>
        <v>13898.973658752</v>
      </c>
      <c r="K39" s="65">
        <f t="shared" si="12"/>
        <v>15427.860761214721</v>
      </c>
      <c r="L39" s="65">
        <f t="shared" si="12"/>
        <v>16816.368229724048</v>
      </c>
    </row>
    <row r="40" spans="1:12" ht="15" customHeight="1" x14ac:dyDescent="0.45">
      <c r="B40" s="52" t="s">
        <v>224</v>
      </c>
      <c r="D40" s="65">
        <f t="shared" ref="D40:L40" si="13">D29</f>
        <v>731.28899999999999</v>
      </c>
      <c r="E40" s="65">
        <f t="shared" si="13"/>
        <v>1138.5</v>
      </c>
      <c r="F40" s="65">
        <f t="shared" si="13"/>
        <v>1663.2</v>
      </c>
      <c r="G40" s="65">
        <f t="shared" si="13"/>
        <v>2286.9</v>
      </c>
      <c r="H40" s="65">
        <f t="shared" si="13"/>
        <v>2950.649856</v>
      </c>
      <c r="I40" s="65">
        <f t="shared" si="13"/>
        <v>3656.0395872000004</v>
      </c>
      <c r="J40" s="65">
        <f t="shared" si="13"/>
        <v>4314.1267128960008</v>
      </c>
      <c r="K40" s="65">
        <f t="shared" si="13"/>
        <v>4961.245719830401</v>
      </c>
      <c r="L40" s="65">
        <f t="shared" si="13"/>
        <v>5556.5952062100496</v>
      </c>
    </row>
    <row r="41" spans="1:12" ht="15" customHeight="1" x14ac:dyDescent="0.45">
      <c r="B41" s="52" t="s">
        <v>228</v>
      </c>
      <c r="D41" s="65">
        <f t="shared" ref="D41:L41" si="14">D33</f>
        <v>30</v>
      </c>
      <c r="E41" s="65">
        <f t="shared" si="14"/>
        <v>40</v>
      </c>
      <c r="F41" s="65">
        <f t="shared" si="14"/>
        <v>350</v>
      </c>
      <c r="G41" s="65">
        <f t="shared" si="14"/>
        <v>700</v>
      </c>
      <c r="H41" s="65">
        <f t="shared" si="14"/>
        <v>1100</v>
      </c>
      <c r="I41" s="65">
        <f t="shared" si="14"/>
        <v>1500</v>
      </c>
      <c r="J41" s="65">
        <f t="shared" si="14"/>
        <v>1900</v>
      </c>
      <c r="K41" s="65">
        <f t="shared" si="14"/>
        <v>2200</v>
      </c>
      <c r="L41" s="65">
        <f t="shared" si="14"/>
        <v>2500</v>
      </c>
    </row>
    <row r="42" spans="1:12" ht="15" customHeight="1" x14ac:dyDescent="0.45">
      <c r="B42" s="48" t="s">
        <v>231</v>
      </c>
      <c r="D42" s="90">
        <f t="shared" ref="D42:L42" si="15">SUM(D37:D41)</f>
        <v>20241.729667675001</v>
      </c>
      <c r="E42" s="90">
        <f t="shared" si="15"/>
        <v>54670.182091499999</v>
      </c>
      <c r="F42" s="90">
        <f t="shared" si="15"/>
        <v>95618.265000000014</v>
      </c>
      <c r="G42" s="90">
        <f t="shared" si="15"/>
        <v>134814.2028</v>
      </c>
      <c r="H42" s="90">
        <f t="shared" si="15"/>
        <v>177601.8700385</v>
      </c>
      <c r="I42" s="90">
        <f t="shared" si="15"/>
        <v>221393.24354785</v>
      </c>
      <c r="J42" s="90">
        <f t="shared" si="15"/>
        <v>263806.89117392147</v>
      </c>
      <c r="K42" s="90">
        <f t="shared" si="15"/>
        <v>304104.42436354602</v>
      </c>
      <c r="L42" s="90">
        <f t="shared" si="15"/>
        <v>341459.50192785996</v>
      </c>
    </row>
    <row r="43" spans="1:12" ht="15" customHeight="1" x14ac:dyDescent="0.45">
      <c r="B43" s="48" t="s">
        <v>494</v>
      </c>
      <c r="D43" s="89">
        <f t="shared" ref="D43:L43" si="16">D12+D20+D28</f>
        <v>62290.985249999998</v>
      </c>
      <c r="E43" s="89">
        <f t="shared" si="16"/>
        <v>96765.786749999999</v>
      </c>
      <c r="F43" s="89">
        <f t="shared" si="16"/>
        <v>139409</v>
      </c>
      <c r="G43" s="89">
        <f t="shared" si="16"/>
        <v>188619.07</v>
      </c>
      <c r="H43" s="89">
        <f t="shared" si="16"/>
        <v>241983.27749999997</v>
      </c>
      <c r="I43" s="89">
        <f t="shared" si="16"/>
        <v>296566.69800500001</v>
      </c>
      <c r="J43" s="89">
        <f t="shared" si="16"/>
        <v>349857.35148635</v>
      </c>
      <c r="K43" s="89">
        <f t="shared" si="16"/>
        <v>401124.26613994502</v>
      </c>
      <c r="L43" s="89">
        <f t="shared" si="16"/>
        <v>448951.70295096241</v>
      </c>
    </row>
    <row r="44" spans="1:12" ht="15" customHeight="1" x14ac:dyDescent="0.45">
      <c r="B44" s="52" t="s">
        <v>232</v>
      </c>
      <c r="E44" s="53">
        <f t="shared" ref="E44:L44" si="17">E43/D43-1</f>
        <v>0.55344768366783859</v>
      </c>
      <c r="F44" s="53">
        <f t="shared" si="17"/>
        <v>0.44068481931709202</v>
      </c>
      <c r="G44" s="53">
        <f t="shared" si="17"/>
        <v>0.35299062470859122</v>
      </c>
      <c r="H44" s="53">
        <f t="shared" si="17"/>
        <v>0.28292053131213057</v>
      </c>
      <c r="I44" s="53">
        <f t="shared" si="17"/>
        <v>0.22556691135402973</v>
      </c>
      <c r="J44" s="53">
        <f t="shared" si="17"/>
        <v>0.17969196757368744</v>
      </c>
      <c r="K44" s="53">
        <f t="shared" si="17"/>
        <v>0.14653662252855426</v>
      </c>
      <c r="L44" s="53">
        <f t="shared" si="17"/>
        <v>0.11923346665427426</v>
      </c>
    </row>
    <row r="45" spans="1:12" ht="15" customHeight="1" x14ac:dyDescent="0.45">
      <c r="B45" s="48" t="s">
        <v>233</v>
      </c>
      <c r="D45" s="57">
        <f t="shared" ref="D45:L45" si="18">D17+D25+D30+D32+D34</f>
        <v>765.9493823250001</v>
      </c>
      <c r="E45" s="57">
        <f t="shared" si="18"/>
        <v>1152.5052794999999</v>
      </c>
      <c r="F45" s="57">
        <f t="shared" si="18"/>
        <v>3985.0551999999989</v>
      </c>
      <c r="G45" s="57">
        <f t="shared" si="18"/>
        <v>7655.4011599999994</v>
      </c>
      <c r="H45" s="57">
        <f t="shared" si="18"/>
        <v>12016.294100399999</v>
      </c>
      <c r="I45" s="57">
        <f t="shared" si="18"/>
        <v>16897.087834386999</v>
      </c>
      <c r="J45" s="57">
        <f t="shared" si="18"/>
        <v>21228.871851361786</v>
      </c>
      <c r="K45" s="57">
        <f t="shared" si="18"/>
        <v>25416.801428013474</v>
      </c>
      <c r="L45" s="57">
        <f t="shared" si="18"/>
        <v>29153.96806594322</v>
      </c>
    </row>
    <row r="46" spans="1:12" ht="15" customHeight="1" x14ac:dyDescent="0.45">
      <c r="B46" s="52" t="s">
        <v>234</v>
      </c>
      <c r="D46" s="54">
        <v>20243</v>
      </c>
    </row>
    <row r="47" spans="1:12" ht="15" customHeight="1" x14ac:dyDescent="0.45">
      <c r="B47" s="48" t="s">
        <v>235</v>
      </c>
      <c r="D47" s="64">
        <f>D42-D46</f>
        <v>-1.2703323249988898</v>
      </c>
    </row>
    <row r="48" spans="1:12" ht="15" customHeight="1" x14ac:dyDescent="0.45">
      <c r="B48" s="52" t="s">
        <v>236</v>
      </c>
      <c r="D48" s="65">
        <f t="shared" ref="D48:L48" si="19">D42*1.023</f>
        <v>20707.289450031523</v>
      </c>
      <c r="E48" s="65">
        <f t="shared" si="19"/>
        <v>55927.596279604491</v>
      </c>
      <c r="F48" s="65">
        <f t="shared" si="19"/>
        <v>97817.485095000011</v>
      </c>
      <c r="G48" s="65">
        <f t="shared" si="19"/>
        <v>137914.92946439999</v>
      </c>
      <c r="H48" s="65">
        <f t="shared" si="19"/>
        <v>181686.71304938549</v>
      </c>
      <c r="I48" s="65">
        <f t="shared" si="19"/>
        <v>226485.28814945053</v>
      </c>
      <c r="J48" s="65">
        <f t="shared" si="19"/>
        <v>269874.44967092166</v>
      </c>
      <c r="K48" s="65">
        <f t="shared" si="19"/>
        <v>311098.82612390752</v>
      </c>
      <c r="L48" s="65">
        <f t="shared" si="19"/>
        <v>349313.07047220069</v>
      </c>
    </row>
    <row r="49" spans="2:2" ht="49.5" customHeight="1" x14ac:dyDescent="0.45">
      <c r="B49" s="44"/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2937"/>
    <pageSetUpPr fitToPage="1"/>
  </sheetPr>
  <dimension ref="A1:L97"/>
  <sheetViews>
    <sheetView showGridLines="0" zoomScaleNormal="100" workbookViewId="0">
      <pane xSplit="3" ySplit="5" topLeftCell="D11" activePane="bottomRight" state="frozen"/>
      <selection pane="topRight" activeCell="C1" sqref="C1"/>
      <selection pane="bottomLeft" activeCell="A44" sqref="A44"/>
      <selection pane="bottomRight" activeCell="B29" sqref="B29"/>
    </sheetView>
  </sheetViews>
  <sheetFormatPr defaultColWidth="8.6640625" defaultRowHeight="14.25" x14ac:dyDescent="0.45"/>
  <cols>
    <col min="1" max="1" width="3.06640625" style="41" customWidth="1"/>
    <col min="2" max="2" width="56" style="41" customWidth="1"/>
    <col min="3" max="3" width="11" style="41" customWidth="1"/>
    <col min="4" max="12" width="13" style="41" customWidth="1"/>
    <col min="13" max="16384" width="8.6640625" style="41"/>
  </cols>
  <sheetData>
    <row r="1" spans="1:12" ht="15" customHeight="1" x14ac:dyDescent="0.45">
      <c r="B1" s="42"/>
    </row>
    <row r="2" spans="1:12" ht="19.5" customHeight="1" x14ac:dyDescent="0.45">
      <c r="B2" s="43" t="s">
        <v>495</v>
      </c>
    </row>
    <row r="3" spans="1:12" ht="15" customHeight="1" x14ac:dyDescent="0.45">
      <c r="B3" s="86" t="s">
        <v>237</v>
      </c>
    </row>
    <row r="5" spans="1:12" ht="15" customHeight="1" x14ac:dyDescent="0.45">
      <c r="A5" s="41" t="s">
        <v>471</v>
      </c>
      <c r="B5" s="45" t="s">
        <v>238</v>
      </c>
      <c r="C5" s="46" t="s">
        <v>48</v>
      </c>
      <c r="D5" s="46" t="s">
        <v>24</v>
      </c>
      <c r="E5" s="46" t="s">
        <v>25</v>
      </c>
      <c r="F5" s="46" t="s">
        <v>26</v>
      </c>
      <c r="G5" s="46" t="s">
        <v>27</v>
      </c>
      <c r="H5" s="46" t="s">
        <v>28</v>
      </c>
      <c r="I5" s="46" t="s">
        <v>49</v>
      </c>
      <c r="J5" s="46" t="s">
        <v>50</v>
      </c>
      <c r="K5" s="46" t="s">
        <v>51</v>
      </c>
      <c r="L5" s="46" t="s">
        <v>52</v>
      </c>
    </row>
    <row r="6" spans="1:12" ht="15" customHeight="1" x14ac:dyDescent="0.45">
      <c r="A6" s="41" t="s">
        <v>471</v>
      </c>
      <c r="B6" s="47" t="s">
        <v>239</v>
      </c>
    </row>
    <row r="7" spans="1:12" ht="15" customHeight="1" x14ac:dyDescent="0.45">
      <c r="B7" s="48" t="s">
        <v>115</v>
      </c>
      <c r="C7" s="49" t="s">
        <v>59</v>
      </c>
      <c r="D7" s="51">
        <f>RevBuild!D42</f>
        <v>20241.729667675001</v>
      </c>
      <c r="E7" s="51">
        <f>RevBuild!E42</f>
        <v>54670.182091499999</v>
      </c>
      <c r="F7" s="51">
        <f>RevBuild!F42</f>
        <v>95618.265000000014</v>
      </c>
      <c r="G7" s="51">
        <f>RevBuild!G42</f>
        <v>134814.2028</v>
      </c>
      <c r="H7" s="51">
        <f>RevBuild!H42</f>
        <v>177601.8700385</v>
      </c>
      <c r="I7" s="51">
        <f>RevBuild!I42</f>
        <v>221393.24354785</v>
      </c>
      <c r="J7" s="51">
        <f>RevBuild!J42</f>
        <v>263806.89117392147</v>
      </c>
      <c r="K7" s="51">
        <f>RevBuild!K42</f>
        <v>304104.42436354602</v>
      </c>
      <c r="L7" s="51">
        <f>RevBuild!L42</f>
        <v>341459.50192785996</v>
      </c>
    </row>
    <row r="8" spans="1:12" ht="15" customHeight="1" x14ac:dyDescent="0.45">
      <c r="B8" s="52" t="s">
        <v>116</v>
      </c>
      <c r="C8" s="49" t="s">
        <v>68</v>
      </c>
      <c r="E8" s="53">
        <f t="shared" ref="E8:L8" si="0">E7/D7-1</f>
        <v>1.7008651429035466</v>
      </c>
      <c r="F8" s="53">
        <f t="shared" si="0"/>
        <v>0.74900213136232696</v>
      </c>
      <c r="G8" s="53">
        <f t="shared" si="0"/>
        <v>0.40992103130087099</v>
      </c>
      <c r="H8" s="53">
        <f t="shared" si="0"/>
        <v>0.31738248900953336</v>
      </c>
      <c r="I8" s="53">
        <f t="shared" si="0"/>
        <v>0.24657045277652223</v>
      </c>
      <c r="J8" s="53">
        <f t="shared" si="0"/>
        <v>0.19157607046352587</v>
      </c>
      <c r="K8" s="53">
        <f t="shared" si="0"/>
        <v>0.15275390650450205</v>
      </c>
      <c r="L8" s="53">
        <f t="shared" si="0"/>
        <v>0.12283635018626793</v>
      </c>
    </row>
    <row r="9" spans="1:12" ht="15" customHeight="1" x14ac:dyDescent="0.45">
      <c r="B9" s="52" t="s">
        <v>240</v>
      </c>
      <c r="C9" s="49" t="s">
        <v>59</v>
      </c>
      <c r="D9" s="65">
        <f>-(RevBuild!D15*Assumptions!D48+RevBuild!D31*Assumptions!D49)</f>
        <v>-5452.4800000000005</v>
      </c>
      <c r="E9" s="65">
        <f>-(RevBuild!E15*Assumptions!E48+RevBuild!E31*Assumptions!E49)</f>
        <v>-31491.104192415998</v>
      </c>
      <c r="F9" s="65">
        <f>-(RevBuild!F15*Assumptions!F48+RevBuild!F31*Assumptions!F49)</f>
        <v>-64323.136080000011</v>
      </c>
      <c r="G9" s="65">
        <f>-(RevBuild!G15*Assumptions!G48+RevBuild!G31*Assumptions!G49)</f>
        <v>-92568.603096000006</v>
      </c>
      <c r="H9" s="65">
        <f>-(RevBuild!H15*Assumptions!H48+RevBuild!H31*Assumptions!H49)</f>
        <v>-123446.67280020002</v>
      </c>
      <c r="I9" s="65">
        <f>-(RevBuild!I15*Assumptions!I48+RevBuild!I31*Assumptions!I49)</f>
        <v>-155025.784617984</v>
      </c>
      <c r="J9" s="65">
        <f>-(RevBuild!J15*Assumptions!J48+RevBuild!J31*Assumptions!J49)</f>
        <v>-185870.99337970177</v>
      </c>
      <c r="K9" s="65">
        <f>-(RevBuild!K15*Assumptions!K48+RevBuild!K31*Assumptions!K49)</f>
        <v>-215113.43556986898</v>
      </c>
      <c r="L9" s="65">
        <f>-(RevBuild!L15*Assumptions!L48+RevBuild!L31*Assumptions!L49)</f>
        <v>-242096.02605715714</v>
      </c>
    </row>
    <row r="10" spans="1:12" ht="15" customHeight="1" x14ac:dyDescent="0.45">
      <c r="B10" s="48" t="s">
        <v>241</v>
      </c>
      <c r="D10" s="57">
        <f t="shared" ref="D10:L10" si="1">D7+D9</f>
        <v>14789.249667675002</v>
      </c>
      <c r="E10" s="57">
        <f t="shared" si="1"/>
        <v>23179.077899084001</v>
      </c>
      <c r="F10" s="57">
        <f t="shared" si="1"/>
        <v>31295.128920000003</v>
      </c>
      <c r="G10" s="57">
        <f t="shared" si="1"/>
        <v>42245.599703999993</v>
      </c>
      <c r="H10" s="57">
        <f t="shared" si="1"/>
        <v>54155.197238299981</v>
      </c>
      <c r="I10" s="57">
        <f t="shared" si="1"/>
        <v>66367.458929865999</v>
      </c>
      <c r="J10" s="57">
        <f t="shared" si="1"/>
        <v>77935.897794219694</v>
      </c>
      <c r="K10" s="57">
        <f t="shared" si="1"/>
        <v>88990.988793677039</v>
      </c>
      <c r="L10" s="57">
        <f t="shared" si="1"/>
        <v>99363.475870702823</v>
      </c>
    </row>
    <row r="11" spans="1:12" ht="15" customHeight="1" x14ac:dyDescent="0.45">
      <c r="B11" s="52" t="s">
        <v>242</v>
      </c>
      <c r="D11" s="53">
        <f t="shared" ref="D11:L11" si="2">D10/D7</f>
        <v>0.73063171529717008</v>
      </c>
      <c r="E11" s="53">
        <f t="shared" si="2"/>
        <v>0.42398025783579441</v>
      </c>
      <c r="F11" s="53">
        <f t="shared" si="2"/>
        <v>0.32729237369031949</v>
      </c>
      <c r="G11" s="53">
        <f t="shared" si="2"/>
        <v>0.31336164014315554</v>
      </c>
      <c r="H11" s="53">
        <f t="shared" si="2"/>
        <v>0.3049247016743708</v>
      </c>
      <c r="I11" s="53">
        <f t="shared" si="2"/>
        <v>0.29977183524808843</v>
      </c>
      <c r="J11" s="53">
        <f t="shared" si="2"/>
        <v>0.2954278314998165</v>
      </c>
      <c r="K11" s="53">
        <f t="shared" si="2"/>
        <v>0.29263299598460124</v>
      </c>
      <c r="L11" s="53">
        <f t="shared" si="2"/>
        <v>0.29099637090109537</v>
      </c>
    </row>
    <row r="13" spans="1:12" ht="15" customHeight="1" x14ac:dyDescent="0.45">
      <c r="A13" s="41" t="s">
        <v>471</v>
      </c>
      <c r="B13" s="47" t="s">
        <v>243</v>
      </c>
    </row>
    <row r="14" spans="1:12" ht="15" customHeight="1" x14ac:dyDescent="0.45">
      <c r="B14" s="52" t="s">
        <v>244</v>
      </c>
      <c r="C14" s="49" t="s">
        <v>59</v>
      </c>
      <c r="D14" s="55">
        <f>RevBuild!D25</f>
        <v>1598.4</v>
      </c>
      <c r="E14" s="55">
        <f>RevBuild!E25</f>
        <v>2029.8999999999999</v>
      </c>
      <c r="F14" s="55">
        <f>RevBuild!F25</f>
        <v>2643.8489999999997</v>
      </c>
      <c r="G14" s="55">
        <f>RevBuild!G25</f>
        <v>3355.4476799999998</v>
      </c>
      <c r="H14" s="55">
        <f>RevBuild!H25</f>
        <v>4099.9376339999999</v>
      </c>
      <c r="I14" s="55">
        <f>RevBuild!I25</f>
        <v>4837.3234761149988</v>
      </c>
      <c r="J14" s="55">
        <f>RevBuild!J25</f>
        <v>5520.6805812619496</v>
      </c>
      <c r="K14" s="55">
        <f>RevBuild!K25</f>
        <v>6155.9369769140103</v>
      </c>
      <c r="L14" s="55">
        <f>RevBuild!L25</f>
        <v>6800.6465927394647</v>
      </c>
    </row>
    <row r="15" spans="1:12" ht="15" customHeight="1" x14ac:dyDescent="0.45">
      <c r="B15" s="52" t="s">
        <v>139</v>
      </c>
      <c r="C15" s="49" t="s">
        <v>59</v>
      </c>
      <c r="D15" s="55">
        <f>RevBuild!D17</f>
        <v>-731.59661767499995</v>
      </c>
      <c r="E15" s="55">
        <f>RevBuild!E17</f>
        <v>-291.39472050000001</v>
      </c>
      <c r="F15" s="55">
        <f>RevBuild!F17</f>
        <v>1614.76</v>
      </c>
      <c r="G15" s="55">
        <f>RevBuild!G17</f>
        <v>4008.4300000000003</v>
      </c>
      <c r="H15" s="55">
        <f>RevBuild!H17</f>
        <v>6980.0774999999994</v>
      </c>
      <c r="I15" s="55">
        <f>RevBuild!I17</f>
        <v>10215.911999999998</v>
      </c>
      <c r="J15" s="55">
        <f>RevBuild!J17</f>
        <v>13257.53</v>
      </c>
      <c r="K15" s="55">
        <f>RevBuild!K17</f>
        <v>16226.805</v>
      </c>
      <c r="L15" s="55">
        <f>RevBuild!L17</f>
        <v>18932.002499999995</v>
      </c>
    </row>
    <row r="16" spans="1:12" ht="15" customHeight="1" x14ac:dyDescent="0.45">
      <c r="B16" s="52" t="s">
        <v>141</v>
      </c>
      <c r="C16" s="49" t="s">
        <v>59</v>
      </c>
      <c r="D16" s="55">
        <f>RevBuild!D30</f>
        <v>-33.090000000000003</v>
      </c>
      <c r="E16" s="55">
        <f>RevBuild!E30</f>
        <v>-396</v>
      </c>
      <c r="F16" s="55">
        <f>RevBuild!F30</f>
        <v>-138.6</v>
      </c>
      <c r="G16" s="55">
        <f>RevBuild!G30</f>
        <v>274.428</v>
      </c>
      <c r="H16" s="55">
        <f>RevBuild!H30</f>
        <v>691.55856000000006</v>
      </c>
      <c r="I16" s="55">
        <f>RevBuild!I30</f>
        <v>1406.1690720000001</v>
      </c>
      <c r="J16" s="55">
        <f>RevBuild!J30</f>
        <v>1825.2074554560002</v>
      </c>
      <c r="K16" s="55">
        <f>RevBuild!K30</f>
        <v>2289.8057168447999</v>
      </c>
      <c r="L16" s="55">
        <f>RevBuild!L30</f>
        <v>2564.5824028661764</v>
      </c>
    </row>
    <row r="17" spans="1:12" ht="15" customHeight="1" x14ac:dyDescent="0.45">
      <c r="B17" s="52" t="s">
        <v>245</v>
      </c>
      <c r="C17" s="49" t="s">
        <v>59</v>
      </c>
      <c r="D17" s="55">
        <f>RevBuild!D32</f>
        <v>-55.763999999999996</v>
      </c>
      <c r="E17" s="55">
        <f>RevBuild!E32</f>
        <v>0</v>
      </c>
      <c r="F17" s="55">
        <f>RevBuild!F32</f>
        <v>105.0462</v>
      </c>
      <c r="G17" s="55">
        <f>RevBuild!G32</f>
        <v>217.09548000000001</v>
      </c>
      <c r="H17" s="55">
        <f>RevBuild!H32</f>
        <v>364.7204064</v>
      </c>
      <c r="I17" s="55">
        <f>RevBuild!I32</f>
        <v>487.68328627199998</v>
      </c>
      <c r="J17" s="55">
        <f>RevBuild!J32</f>
        <v>625.45381464384002</v>
      </c>
      <c r="K17" s="55">
        <f>RevBuild!K32</f>
        <v>694.25373425466239</v>
      </c>
      <c r="L17" s="55">
        <f>RevBuild!L32</f>
        <v>756.73657033758218</v>
      </c>
    </row>
    <row r="18" spans="1:12" ht="15" customHeight="1" x14ac:dyDescent="0.45">
      <c r="B18" s="52" t="s">
        <v>246</v>
      </c>
      <c r="C18" s="49" t="s">
        <v>59</v>
      </c>
      <c r="D18" s="55">
        <f>RevBuild!D34</f>
        <v>-12</v>
      </c>
      <c r="E18" s="55">
        <f>RevBuild!E34</f>
        <v>-190</v>
      </c>
      <c r="F18" s="55">
        <f>RevBuild!F34</f>
        <v>-240</v>
      </c>
      <c r="G18" s="55">
        <f>RevBuild!G34</f>
        <v>-200</v>
      </c>
      <c r="H18" s="55">
        <f>RevBuild!H34</f>
        <v>-120</v>
      </c>
      <c r="I18" s="55">
        <f>RevBuild!I34</f>
        <v>-50</v>
      </c>
      <c r="J18" s="55">
        <f>RevBuild!J34</f>
        <v>0</v>
      </c>
      <c r="K18" s="55">
        <f>RevBuild!K34</f>
        <v>50</v>
      </c>
      <c r="L18" s="55">
        <f>RevBuild!L34</f>
        <v>100</v>
      </c>
    </row>
    <row r="20" spans="1:12" ht="15" customHeight="1" x14ac:dyDescent="0.45">
      <c r="A20" s="41" t="s">
        <v>471</v>
      </c>
      <c r="B20" s="48" t="s">
        <v>247</v>
      </c>
      <c r="C20" s="49" t="s">
        <v>59</v>
      </c>
      <c r="D20" s="57">
        <f t="shared" ref="D20:L20" si="3">SUM(D14:D18)</f>
        <v>765.9493823250001</v>
      </c>
      <c r="E20" s="57">
        <f t="shared" si="3"/>
        <v>1152.5052794999999</v>
      </c>
      <c r="F20" s="57">
        <f t="shared" si="3"/>
        <v>3985.0551999999989</v>
      </c>
      <c r="G20" s="57">
        <f t="shared" si="3"/>
        <v>7655.4011599999994</v>
      </c>
      <c r="H20" s="57">
        <f t="shared" si="3"/>
        <v>12016.294100399999</v>
      </c>
      <c r="I20" s="57">
        <f t="shared" si="3"/>
        <v>16897.087834386999</v>
      </c>
      <c r="J20" s="57">
        <f t="shared" si="3"/>
        <v>21228.871851361786</v>
      </c>
      <c r="K20" s="57">
        <f t="shared" si="3"/>
        <v>25416.801428013474</v>
      </c>
      <c r="L20" s="57">
        <f t="shared" si="3"/>
        <v>29153.96806594322</v>
      </c>
    </row>
    <row r="21" spans="1:12" ht="15" customHeight="1" x14ac:dyDescent="0.45">
      <c r="B21" s="52" t="s">
        <v>248</v>
      </c>
      <c r="D21" s="55">
        <f>-Assumptions!D37</f>
        <v>-698</v>
      </c>
      <c r="E21" s="55">
        <f>-Assumptions!E37</f>
        <v>-810</v>
      </c>
      <c r="F21" s="55">
        <f>-Assumptions!F37</f>
        <v>-860</v>
      </c>
      <c r="G21" s="55">
        <f>-Assumptions!G37</f>
        <v>-910</v>
      </c>
      <c r="H21" s="55">
        <f>-Assumptions!H37</f>
        <v>-960</v>
      </c>
      <c r="I21" s="55">
        <f>-Assumptions!I37</f>
        <v>-1010</v>
      </c>
      <c r="J21" s="55">
        <f>-Assumptions!J37</f>
        <v>-1060</v>
      </c>
      <c r="K21" s="55">
        <f>-Assumptions!K37</f>
        <v>-1110</v>
      </c>
      <c r="L21" s="55">
        <f>-Assumptions!L37</f>
        <v>-1160</v>
      </c>
    </row>
    <row r="22" spans="1:12" ht="15" customHeight="1" x14ac:dyDescent="0.45">
      <c r="B22" s="52" t="s">
        <v>249</v>
      </c>
      <c r="D22" s="65">
        <f t="shared" ref="D22:L22" si="4">D88</f>
        <v>569.85349999999994</v>
      </c>
      <c r="E22" s="65">
        <f t="shared" si="4"/>
        <v>1014.4295000000001</v>
      </c>
      <c r="F22" s="65">
        <f t="shared" si="4"/>
        <v>1530.6</v>
      </c>
      <c r="G22" s="65">
        <f t="shared" si="4"/>
        <v>2095.8000000000002</v>
      </c>
      <c r="H22" s="65">
        <f t="shared" si="4"/>
        <v>2679</v>
      </c>
      <c r="I22" s="65">
        <f t="shared" si="4"/>
        <v>3253.2000000000003</v>
      </c>
      <c r="J22" s="65">
        <f t="shared" si="4"/>
        <v>3809.3</v>
      </c>
      <c r="K22" s="65">
        <f t="shared" si="4"/>
        <v>4354</v>
      </c>
      <c r="L22" s="65">
        <f t="shared" si="4"/>
        <v>4870.2</v>
      </c>
    </row>
    <row r="23" spans="1:12" ht="15" customHeight="1" x14ac:dyDescent="0.45">
      <c r="A23" s="41" t="s">
        <v>471</v>
      </c>
      <c r="B23" s="48" t="s">
        <v>250</v>
      </c>
      <c r="D23" s="57">
        <f t="shared" ref="D23:L23" si="5">D20+D21+D22</f>
        <v>637.80288232500004</v>
      </c>
      <c r="E23" s="57">
        <f t="shared" si="5"/>
        <v>1356.9347794999999</v>
      </c>
      <c r="F23" s="57">
        <f t="shared" si="5"/>
        <v>4655.6551999999992</v>
      </c>
      <c r="G23" s="57">
        <f t="shared" si="5"/>
        <v>8841.2011600000005</v>
      </c>
      <c r="H23" s="57">
        <f t="shared" si="5"/>
        <v>13735.294100399999</v>
      </c>
      <c r="I23" s="57">
        <f t="shared" si="5"/>
        <v>19140.287834387</v>
      </c>
      <c r="J23" s="57">
        <f t="shared" si="5"/>
        <v>23978.171851361785</v>
      </c>
      <c r="K23" s="57">
        <f t="shared" si="5"/>
        <v>28660.801428013474</v>
      </c>
      <c r="L23" s="57">
        <f t="shared" si="5"/>
        <v>32864.168065943217</v>
      </c>
    </row>
    <row r="24" spans="1:12" ht="15" customHeight="1" x14ac:dyDescent="0.45">
      <c r="B24" s="48" t="s">
        <v>123</v>
      </c>
      <c r="C24" s="49" t="s">
        <v>59</v>
      </c>
      <c r="D24" s="89">
        <f>-(D92+D93+Assumptions!D47)</f>
        <v>-863</v>
      </c>
      <c r="E24" s="89">
        <f>-(E92+E93+Assumptions!E47)</f>
        <v>-1585.22052029</v>
      </c>
      <c r="F24" s="89">
        <f>-(F92+F93+Assumptions!F47)</f>
        <v>-1914.9270053335999</v>
      </c>
      <c r="G24" s="89">
        <f>-(G92+G93+Assumptions!G47)</f>
        <v>-2368.6686969602242</v>
      </c>
      <c r="H24" s="89">
        <f>-(H92+H93+Assumptions!H47)</f>
        <v>-2901.9657369881888</v>
      </c>
      <c r="I24" s="89">
        <f>-(I92+I93+Assumptions!I47)</f>
        <v>-3453.1380518082392</v>
      </c>
      <c r="J24" s="89">
        <f>-(J92+J93+Assumptions!J47)</f>
        <v>-4010.7532430737542</v>
      </c>
      <c r="K24" s="89">
        <f>-(K92+K93+Assumptions!K47)</f>
        <v>-4577.4457770419012</v>
      </c>
      <c r="L24" s="89">
        <f>-(L92+L93+Assumptions!L47)</f>
        <v>-5133.8389317814499</v>
      </c>
    </row>
    <row r="25" spans="1:12" ht="15" customHeight="1" x14ac:dyDescent="0.45">
      <c r="B25" s="52" t="s">
        <v>251</v>
      </c>
      <c r="D25" s="65">
        <f t="shared" ref="D25:L25" si="6">-D92</f>
        <v>-420</v>
      </c>
      <c r="E25" s="65">
        <f t="shared" si="6"/>
        <v>-1040.5045</v>
      </c>
      <c r="F25" s="65">
        <f t="shared" si="6"/>
        <v>-1224.46</v>
      </c>
      <c r="G25" s="65">
        <f t="shared" si="6"/>
        <v>-1518.7550000000001</v>
      </c>
      <c r="H25" s="65">
        <f t="shared" si="6"/>
        <v>-1874.5200000000004</v>
      </c>
      <c r="I25" s="65">
        <f t="shared" si="6"/>
        <v>-2240.880000000001</v>
      </c>
      <c r="J25" s="65">
        <f t="shared" si="6"/>
        <v>-2609.0349999999999</v>
      </c>
      <c r="K25" s="65">
        <f t="shared" si="6"/>
        <v>-2985.4799999999996</v>
      </c>
      <c r="L25" s="65">
        <f t="shared" si="6"/>
        <v>-3353.2100000000028</v>
      </c>
    </row>
    <row r="26" spans="1:12" ht="15" customHeight="1" x14ac:dyDescent="0.45">
      <c r="B26" s="48" t="s">
        <v>252</v>
      </c>
      <c r="C26" s="49" t="s">
        <v>59</v>
      </c>
      <c r="D26" s="57">
        <f t="shared" ref="D26:L26" si="7">D23+D24</f>
        <v>-225.19711767499996</v>
      </c>
      <c r="E26" s="57">
        <f t="shared" si="7"/>
        <v>-228.28574079000009</v>
      </c>
      <c r="F26" s="57">
        <f t="shared" si="7"/>
        <v>2740.7281946663993</v>
      </c>
      <c r="G26" s="57">
        <f t="shared" si="7"/>
        <v>6472.5324630397763</v>
      </c>
      <c r="H26" s="57">
        <f t="shared" si="7"/>
        <v>10833.328363411809</v>
      </c>
      <c r="I26" s="57">
        <f t="shared" si="7"/>
        <v>15687.149782578761</v>
      </c>
      <c r="J26" s="57">
        <f t="shared" si="7"/>
        <v>19967.41860828803</v>
      </c>
      <c r="K26" s="57">
        <f t="shared" si="7"/>
        <v>24083.355650971571</v>
      </c>
      <c r="L26" s="57">
        <f t="shared" si="7"/>
        <v>27730.329134161766</v>
      </c>
    </row>
    <row r="27" spans="1:12" ht="15" customHeight="1" x14ac:dyDescent="0.45">
      <c r="B27" s="52" t="s">
        <v>253</v>
      </c>
      <c r="D27" s="53">
        <f t="shared" ref="D27:L27" si="8">D26/D7</f>
        <v>-1.1125389053813328E-2</v>
      </c>
      <c r="E27" s="53">
        <f t="shared" si="8"/>
        <v>-4.1756901487528331E-3</v>
      </c>
      <c r="F27" s="53">
        <f t="shared" si="8"/>
        <v>2.8663228669401176E-2</v>
      </c>
      <c r="G27" s="53">
        <f t="shared" si="8"/>
        <v>4.8010760948102242E-2</v>
      </c>
      <c r="H27" s="53">
        <f t="shared" si="8"/>
        <v>6.0997828238314115E-2</v>
      </c>
      <c r="I27" s="53">
        <f t="shared" si="8"/>
        <v>7.0856497385333617E-2</v>
      </c>
      <c r="J27" s="53">
        <f t="shared" si="8"/>
        <v>7.5689526226682208E-2</v>
      </c>
      <c r="K27" s="53">
        <f t="shared" si="8"/>
        <v>7.9194361283546399E-2</v>
      </c>
      <c r="L27" s="53">
        <f t="shared" si="8"/>
        <v>8.1211180176852554E-2</v>
      </c>
    </row>
    <row r="28" spans="1:12" ht="15" customHeight="1" x14ac:dyDescent="0.45">
      <c r="B28" s="52" t="s">
        <v>254</v>
      </c>
      <c r="C28" s="49" t="s">
        <v>59</v>
      </c>
      <c r="D28" s="54">
        <v>1077</v>
      </c>
      <c r="E28" s="65">
        <f>E96*Assumptions!E55</f>
        <v>1364.5986707296875</v>
      </c>
      <c r="F28" s="65">
        <f>F96*Assumptions!F55</f>
        <v>1662.8570567412905</v>
      </c>
      <c r="G28" s="65">
        <f>G96*Assumptions!G55</f>
        <v>2079.5830683264135</v>
      </c>
      <c r="H28" s="65">
        <f>H96*Assumptions!H55</f>
        <v>2728.2346101575681</v>
      </c>
      <c r="I28" s="65">
        <f>I96*Assumptions!I55</f>
        <v>3668.6778466782444</v>
      </c>
      <c r="J28" s="65">
        <f>J96*Assumptions!J55</f>
        <v>4871.3637727522955</v>
      </c>
      <c r="K28" s="65">
        <f>K96*Assumptions!K55</f>
        <v>6327.0486971182454</v>
      </c>
      <c r="L28" s="65">
        <f>L96*Assumptions!L55</f>
        <v>8053.7142733647961</v>
      </c>
    </row>
    <row r="29" spans="1:12" ht="15" customHeight="1" x14ac:dyDescent="0.45">
      <c r="B29" s="52" t="s">
        <v>255</v>
      </c>
      <c r="C29" s="49" t="s">
        <v>59</v>
      </c>
      <c r="D29" s="65">
        <f t="shared" ref="D29:L29" si="9">-D89</f>
        <v>-154</v>
      </c>
      <c r="E29" s="65">
        <f t="shared" si="9"/>
        <v>-370.42500000000001</v>
      </c>
      <c r="F29" s="65">
        <f t="shared" si="9"/>
        <v>-637.34</v>
      </c>
      <c r="G29" s="65">
        <f t="shared" si="9"/>
        <v>-863.995</v>
      </c>
      <c r="H29" s="65">
        <f t="shared" si="9"/>
        <v>-1064.58</v>
      </c>
      <c r="I29" s="65">
        <f t="shared" si="9"/>
        <v>-1245.42</v>
      </c>
      <c r="J29" s="65">
        <f t="shared" si="9"/>
        <v>-1406.5150000000001</v>
      </c>
      <c r="K29" s="65">
        <f t="shared" si="9"/>
        <v>-1547.92</v>
      </c>
      <c r="L29" s="65">
        <f t="shared" si="9"/>
        <v>-1669.69</v>
      </c>
    </row>
    <row r="30" spans="1:12" ht="15" customHeight="1" x14ac:dyDescent="0.45">
      <c r="B30" s="48" t="s">
        <v>256</v>
      </c>
      <c r="D30" s="57">
        <f t="shared" ref="D30:L30" si="10">D26+D28+D29</f>
        <v>697.80288232500004</v>
      </c>
      <c r="E30" s="57">
        <f t="shared" si="10"/>
        <v>765.88792993968741</v>
      </c>
      <c r="F30" s="57">
        <f t="shared" si="10"/>
        <v>3766.2452514076895</v>
      </c>
      <c r="G30" s="57">
        <f t="shared" si="10"/>
        <v>7688.1205313661894</v>
      </c>
      <c r="H30" s="57">
        <f t="shared" si="10"/>
        <v>12496.982973569377</v>
      </c>
      <c r="I30" s="57">
        <f t="shared" si="10"/>
        <v>18110.407629257003</v>
      </c>
      <c r="J30" s="57">
        <f t="shared" si="10"/>
        <v>23432.267381040325</v>
      </c>
      <c r="K30" s="57">
        <f t="shared" si="10"/>
        <v>28862.48434808982</v>
      </c>
      <c r="L30" s="57">
        <f t="shared" si="10"/>
        <v>34114.353407526563</v>
      </c>
    </row>
    <row r="31" spans="1:12" ht="15" customHeight="1" x14ac:dyDescent="0.45">
      <c r="B31" s="48" t="s">
        <v>125</v>
      </c>
      <c r="D31" s="89">
        <f>D30*(1-Assumptions!D56)</f>
        <v>527.53897903770007</v>
      </c>
      <c r="E31" s="89">
        <f>E30*(1-Assumptions!E56)</f>
        <v>382.94396496984371</v>
      </c>
      <c r="F31" s="89">
        <f>F30*(1-Assumptions!F56)</f>
        <v>2561.0467709572285</v>
      </c>
      <c r="G31" s="89">
        <f>G30*(1-Assumptions!G56)</f>
        <v>5842.971603838304</v>
      </c>
      <c r="H31" s="89">
        <f>H30*(1-Assumptions!H56)</f>
        <v>9997.5863788555016</v>
      </c>
      <c r="I31" s="89">
        <f>I30*(1-Assumptions!I56)</f>
        <v>14126.117950820462</v>
      </c>
      <c r="J31" s="89">
        <f>J30*(1-Assumptions!J56)</f>
        <v>17534.365681232473</v>
      </c>
      <c r="K31" s="89">
        <f>K30*(1-Assumptions!K56)</f>
        <v>21597.797037675613</v>
      </c>
      <c r="L31" s="89">
        <f>L30*(1-Assumptions!L56)</f>
        <v>25527.770654852127</v>
      </c>
    </row>
    <row r="32" spans="1:12" ht="15" customHeight="1" x14ac:dyDescent="0.45">
      <c r="B32" s="52" t="s">
        <v>257</v>
      </c>
      <c r="C32" s="49" t="s">
        <v>57</v>
      </c>
      <c r="D32" s="68">
        <v>878.3</v>
      </c>
      <c r="E32" s="91">
        <f>Assumptions!$D$7</f>
        <v>965.04</v>
      </c>
      <c r="F32" s="91">
        <f>Assumptions!$D$7</f>
        <v>965.04</v>
      </c>
      <c r="G32" s="91">
        <f>Assumptions!$D$7</f>
        <v>965.04</v>
      </c>
      <c r="H32" s="91">
        <f>Assumptions!$D$7</f>
        <v>965.04</v>
      </c>
      <c r="I32" s="91">
        <f>Assumptions!$D$7</f>
        <v>965.04</v>
      </c>
      <c r="J32" s="91">
        <f>Assumptions!$D$7</f>
        <v>965.04</v>
      </c>
      <c r="K32" s="91">
        <f>Assumptions!$D$7</f>
        <v>965.04</v>
      </c>
      <c r="L32" s="91">
        <f>Assumptions!$D$7</f>
        <v>965.04</v>
      </c>
    </row>
    <row r="33" spans="1:12" ht="15" customHeight="1" x14ac:dyDescent="0.45">
      <c r="B33" s="48" t="s">
        <v>496</v>
      </c>
      <c r="C33" s="49" t="s">
        <v>126</v>
      </c>
      <c r="D33" s="92">
        <f t="shared" ref="D33:L33" si="11">D31/D32</f>
        <v>0.60063643292462721</v>
      </c>
      <c r="E33" s="92">
        <f t="shared" si="11"/>
        <v>0.39681667596145626</v>
      </c>
      <c r="F33" s="92">
        <f t="shared" si="11"/>
        <v>2.6538244745888551</v>
      </c>
      <c r="G33" s="92">
        <f t="shared" si="11"/>
        <v>6.0546418841066734</v>
      </c>
      <c r="H33" s="92">
        <f t="shared" si="11"/>
        <v>10.359763718452605</v>
      </c>
      <c r="I33" s="92">
        <f t="shared" si="11"/>
        <v>14.637857447173653</v>
      </c>
      <c r="J33" s="92">
        <f t="shared" si="11"/>
        <v>18.169573987847627</v>
      </c>
      <c r="K33" s="92">
        <f t="shared" si="11"/>
        <v>22.38020914954366</v>
      </c>
      <c r="L33" s="92">
        <f t="shared" si="11"/>
        <v>26.452551868163109</v>
      </c>
    </row>
    <row r="34" spans="1:12" ht="15" customHeight="1" x14ac:dyDescent="0.45">
      <c r="B34" s="52" t="s">
        <v>258</v>
      </c>
      <c r="D34" s="65">
        <f t="shared" ref="D34:L34" si="12">D30-D31</f>
        <v>170.26390328729997</v>
      </c>
      <c r="E34" s="65">
        <f t="shared" si="12"/>
        <v>382.94396496984371</v>
      </c>
      <c r="F34" s="65">
        <f t="shared" si="12"/>
        <v>1205.1984804504609</v>
      </c>
      <c r="G34" s="65">
        <f t="shared" si="12"/>
        <v>1845.1489275278855</v>
      </c>
      <c r="H34" s="65">
        <f t="shared" si="12"/>
        <v>2499.3965947138749</v>
      </c>
      <c r="I34" s="65">
        <f t="shared" si="12"/>
        <v>3984.2896784365403</v>
      </c>
      <c r="J34" s="65">
        <f t="shared" si="12"/>
        <v>5897.9016998078514</v>
      </c>
      <c r="K34" s="65">
        <f t="shared" si="12"/>
        <v>7264.6873104142069</v>
      </c>
      <c r="L34" s="65">
        <f t="shared" si="12"/>
        <v>8586.5827526744361</v>
      </c>
    </row>
    <row r="35" spans="1:12" ht="15" customHeight="1" x14ac:dyDescent="0.45">
      <c r="A35" s="41" t="s">
        <v>471</v>
      </c>
      <c r="B35" s="47" t="s">
        <v>497</v>
      </c>
    </row>
    <row r="36" spans="1:12" ht="15" customHeight="1" x14ac:dyDescent="0.45">
      <c r="B36" s="52" t="s">
        <v>259</v>
      </c>
      <c r="C36" s="49" t="s">
        <v>59</v>
      </c>
      <c r="D36" s="54">
        <v>18857</v>
      </c>
      <c r="E36" s="65">
        <f t="shared" ref="E36:L36" si="13">E84</f>
        <v>23601.496592589861</v>
      </c>
      <c r="F36" s="65">
        <f t="shared" si="13"/>
        <v>28305.003884720194</v>
      </c>
      <c r="G36" s="65">
        <f t="shared" si="13"/>
        <v>35970.137174083109</v>
      </c>
      <c r="H36" s="65">
        <f t="shared" si="13"/>
        <v>47925.317304042481</v>
      </c>
      <c r="I36" s="65">
        <f t="shared" si="13"/>
        <v>64041.797347870699</v>
      </c>
      <c r="J36" s="65">
        <f t="shared" si="13"/>
        <v>83554.49282317629</v>
      </c>
      <c r="K36" s="65">
        <f t="shared" si="13"/>
        <v>107091.73027172445</v>
      </c>
      <c r="L36" s="65">
        <f t="shared" si="13"/>
        <v>134504.79649527709</v>
      </c>
    </row>
    <row r="37" spans="1:12" ht="15" customHeight="1" x14ac:dyDescent="0.45">
      <c r="B37" s="52" t="s">
        <v>260</v>
      </c>
      <c r="D37" s="54">
        <v>665</v>
      </c>
      <c r="E37" s="65">
        <f>-E9*Assumptions!E50/365</f>
        <v>1207.8779690241752</v>
      </c>
      <c r="F37" s="65">
        <f>-F9*Assumptions!F50/365</f>
        <v>2467.1887811506854</v>
      </c>
      <c r="G37" s="65">
        <f>-G9*Assumptions!G50/365</f>
        <v>3550.5765571068496</v>
      </c>
      <c r="H37" s="65">
        <f>-H9*Assumptions!H50/365</f>
        <v>4734.9408745282199</v>
      </c>
      <c r="I37" s="65">
        <f>-I9*Assumptions!I50/365</f>
        <v>5946.1944784980169</v>
      </c>
      <c r="J37" s="65">
        <f>-J9*Assumptions!J50/365</f>
        <v>7129.2983762077383</v>
      </c>
      <c r="K37" s="65">
        <f>-K9*Assumptions!K50/365</f>
        <v>8250.9262958305917</v>
      </c>
      <c r="L37" s="65">
        <f>-L9*Assumptions!L50/365</f>
        <v>9285.8749720553424</v>
      </c>
    </row>
    <row r="38" spans="1:12" ht="15" customHeight="1" x14ac:dyDescent="0.45">
      <c r="B38" s="52" t="s">
        <v>261</v>
      </c>
      <c r="D38" s="54">
        <v>1941</v>
      </c>
      <c r="E38" s="65">
        <f>E7*Assumptions!E52/365</f>
        <v>1198.2505663890411</v>
      </c>
      <c r="F38" s="65">
        <f>F7*Assumptions!F52/365</f>
        <v>2095.7427945205482</v>
      </c>
      <c r="G38" s="65">
        <f>G7*Assumptions!G52/365</f>
        <v>2954.8318421917807</v>
      </c>
      <c r="H38" s="65">
        <f>H7*Assumptions!H52/365</f>
        <v>3892.643726871233</v>
      </c>
      <c r="I38" s="65">
        <f>I7*Assumptions!I52/365</f>
        <v>4852.4546531035612</v>
      </c>
      <c r="J38" s="65">
        <f>J7*Assumptions!J52/365</f>
        <v>5782.0688476475934</v>
      </c>
      <c r="K38" s="65">
        <f>K7*Assumptions!K52/365</f>
        <v>6665.3024518037482</v>
      </c>
      <c r="L38" s="65">
        <f>L7*Assumptions!L52/365</f>
        <v>7484.0438778709031</v>
      </c>
    </row>
    <row r="39" spans="1:12" ht="15" customHeight="1" x14ac:dyDescent="0.45">
      <c r="B39" s="52" t="s">
        <v>262</v>
      </c>
      <c r="D39" s="54">
        <v>2300</v>
      </c>
      <c r="E39" s="65">
        <f>E7*Assumptions!E53</f>
        <v>2186.8072836599999</v>
      </c>
      <c r="F39" s="65">
        <f>F7*Assumptions!F53</f>
        <v>3824.7306000000008</v>
      </c>
      <c r="G39" s="65">
        <f>G7*Assumptions!G53</f>
        <v>5392.5681119999999</v>
      </c>
      <c r="H39" s="65">
        <f>H7*Assumptions!H53</f>
        <v>7104.0748015400004</v>
      </c>
      <c r="I39" s="65">
        <f>I7*Assumptions!I53</f>
        <v>8855.7297419139995</v>
      </c>
      <c r="J39" s="65">
        <f>J7*Assumptions!J53</f>
        <v>10552.275646956859</v>
      </c>
      <c r="K39" s="65">
        <f>K7*Assumptions!K53</f>
        <v>12164.176974541841</v>
      </c>
      <c r="L39" s="65">
        <f>L7*Assumptions!L53</f>
        <v>13658.3800771144</v>
      </c>
    </row>
    <row r="40" spans="1:12" ht="15" customHeight="1" x14ac:dyDescent="0.45">
      <c r="B40" s="52" t="s">
        <v>263</v>
      </c>
      <c r="D40" s="54">
        <v>1151</v>
      </c>
      <c r="E40" s="65">
        <f t="shared" ref="E40:L40" si="14">D40+E78*-1-E93</f>
        <v>2123.2342333350002</v>
      </c>
      <c r="F40" s="65">
        <f t="shared" si="14"/>
        <v>3172.1363280014007</v>
      </c>
      <c r="G40" s="65">
        <f t="shared" si="14"/>
        <v>4301.8711870411762</v>
      </c>
      <c r="H40" s="65">
        <f t="shared" si="14"/>
        <v>5443.7547883229881</v>
      </c>
      <c r="I40" s="65">
        <f t="shared" si="14"/>
        <v>6599.7128074717493</v>
      </c>
      <c r="J40" s="65">
        <f t="shared" si="14"/>
        <v>7737.5469878764252</v>
      </c>
      <c r="K40" s="65">
        <f t="shared" si="14"/>
        <v>8845.0594481054432</v>
      </c>
      <c r="L40" s="65">
        <f t="shared" si="14"/>
        <v>9907.1732673811966</v>
      </c>
    </row>
    <row r="41" spans="1:12" ht="15" customHeight="1" x14ac:dyDescent="0.45">
      <c r="B41" s="52" t="s">
        <v>264</v>
      </c>
      <c r="D41" s="54">
        <v>1738</v>
      </c>
      <c r="E41" s="65">
        <f t="shared" ref="E41:L41" si="15">E50*0.85</f>
        <v>3986.5</v>
      </c>
      <c r="F41" s="65">
        <f t="shared" si="15"/>
        <v>5863.3</v>
      </c>
      <c r="G41" s="65">
        <f t="shared" si="15"/>
        <v>7489.3499999999995</v>
      </c>
      <c r="H41" s="65">
        <f t="shared" si="15"/>
        <v>8963.25</v>
      </c>
      <c r="I41" s="65">
        <f t="shared" si="15"/>
        <v>10284.15</v>
      </c>
      <c r="J41" s="65">
        <f t="shared" si="15"/>
        <v>11452.9</v>
      </c>
      <c r="K41" s="65">
        <f t="shared" si="15"/>
        <v>12469.5</v>
      </c>
      <c r="L41" s="65">
        <f t="shared" si="15"/>
        <v>13334.8</v>
      </c>
    </row>
    <row r="42" spans="1:12" ht="15" customHeight="1" x14ac:dyDescent="0.45">
      <c r="B42" s="52" t="s">
        <v>265</v>
      </c>
      <c r="D42" s="54">
        <v>5800</v>
      </c>
      <c r="E42" s="65">
        <f t="shared" ref="E42:L42" si="16">D42</f>
        <v>5800</v>
      </c>
      <c r="F42" s="65">
        <f t="shared" si="16"/>
        <v>5800</v>
      </c>
      <c r="G42" s="65">
        <f t="shared" si="16"/>
        <v>5800</v>
      </c>
      <c r="H42" s="65">
        <f t="shared" si="16"/>
        <v>5800</v>
      </c>
      <c r="I42" s="65">
        <f t="shared" si="16"/>
        <v>5800</v>
      </c>
      <c r="J42" s="65">
        <f t="shared" si="16"/>
        <v>5800</v>
      </c>
      <c r="K42" s="65">
        <f t="shared" si="16"/>
        <v>5800</v>
      </c>
      <c r="L42" s="65">
        <f t="shared" si="16"/>
        <v>5800</v>
      </c>
    </row>
    <row r="43" spans="1:12" ht="15" customHeight="1" x14ac:dyDescent="0.45">
      <c r="B43" s="52" t="s">
        <v>266</v>
      </c>
      <c r="D43" s="54">
        <v>1150</v>
      </c>
      <c r="E43" s="65">
        <f>D43-Assumptions!E47</f>
        <v>890</v>
      </c>
      <c r="F43" s="65">
        <f>E43-Assumptions!F47</f>
        <v>660</v>
      </c>
      <c r="G43" s="65">
        <f>F43-Assumptions!G47</f>
        <v>460</v>
      </c>
      <c r="H43" s="65">
        <f>G43-Assumptions!H47</f>
        <v>280</v>
      </c>
      <c r="I43" s="65">
        <f>H43-Assumptions!I47</f>
        <v>115</v>
      </c>
      <c r="J43" s="65">
        <f>I43-Assumptions!J47</f>
        <v>-40</v>
      </c>
      <c r="K43" s="65">
        <f>J43-Assumptions!K47</f>
        <v>-190</v>
      </c>
      <c r="L43" s="65">
        <f>K43-Assumptions!L47</f>
        <v>-340</v>
      </c>
    </row>
    <row r="44" spans="1:12" ht="15" customHeight="1" x14ac:dyDescent="0.45">
      <c r="B44" s="52" t="s">
        <v>267</v>
      </c>
      <c r="D44" s="54">
        <v>2021</v>
      </c>
      <c r="E44" s="65">
        <f t="shared" ref="E44:L44" si="17">D44</f>
        <v>2021</v>
      </c>
      <c r="F44" s="65">
        <f t="shared" si="17"/>
        <v>2021</v>
      </c>
      <c r="G44" s="65">
        <f t="shared" si="17"/>
        <v>2021</v>
      </c>
      <c r="H44" s="65">
        <f t="shared" si="17"/>
        <v>2021</v>
      </c>
      <c r="I44" s="65">
        <f t="shared" si="17"/>
        <v>2021</v>
      </c>
      <c r="J44" s="65">
        <f t="shared" si="17"/>
        <v>2021</v>
      </c>
      <c r="K44" s="65">
        <f t="shared" si="17"/>
        <v>2021</v>
      </c>
      <c r="L44" s="65">
        <f t="shared" si="17"/>
        <v>2021</v>
      </c>
    </row>
    <row r="45" spans="1:12" ht="15" customHeight="1" x14ac:dyDescent="0.45">
      <c r="B45" s="48" t="s">
        <v>189</v>
      </c>
      <c r="D45" s="90">
        <f t="shared" ref="D45:L45" si="18">SUM(D36:D44)</f>
        <v>35623</v>
      </c>
      <c r="E45" s="90">
        <f t="shared" si="18"/>
        <v>43015.166644998077</v>
      </c>
      <c r="F45" s="90">
        <f t="shared" si="18"/>
        <v>54209.102388392828</v>
      </c>
      <c r="G45" s="90">
        <f t="shared" si="18"/>
        <v>67940.334872422914</v>
      </c>
      <c r="H45" s="90">
        <f t="shared" si="18"/>
        <v>86164.981495304921</v>
      </c>
      <c r="I45" s="90">
        <f t="shared" si="18"/>
        <v>108516.03902885801</v>
      </c>
      <c r="J45" s="90">
        <f t="shared" si="18"/>
        <v>133989.58268186491</v>
      </c>
      <c r="K45" s="90">
        <f t="shared" si="18"/>
        <v>163117.69544200605</v>
      </c>
      <c r="L45" s="90">
        <f t="shared" si="18"/>
        <v>195656.06868969891</v>
      </c>
    </row>
    <row r="47" spans="1:12" ht="15" customHeight="1" x14ac:dyDescent="0.45">
      <c r="A47" s="41" t="s">
        <v>471</v>
      </c>
      <c r="B47" s="47" t="s">
        <v>498</v>
      </c>
    </row>
    <row r="48" spans="1:12" ht="15" customHeight="1" x14ac:dyDescent="0.45">
      <c r="B48" s="52" t="s">
        <v>268</v>
      </c>
      <c r="C48" s="49" t="s">
        <v>59</v>
      </c>
      <c r="D48" s="54">
        <v>1564</v>
      </c>
      <c r="E48" s="65">
        <f>-E9*Assumptions!E51/365</f>
        <v>2588.3099336232326</v>
      </c>
      <c r="F48" s="65">
        <f>-F9*Assumptions!F51/365</f>
        <v>5286.8331024657546</v>
      </c>
      <c r="G48" s="65">
        <f>-G9*Assumptions!G51/365</f>
        <v>7608.3783366575353</v>
      </c>
      <c r="H48" s="65">
        <f>-H9*Assumptions!H51/365</f>
        <v>10146.301873989043</v>
      </c>
      <c r="I48" s="65">
        <f>-I9*Assumptions!I51/365</f>
        <v>12741.845311067176</v>
      </c>
      <c r="J48" s="65">
        <f>-J9*Assumptions!J51/365</f>
        <v>15277.067949016584</v>
      </c>
      <c r="K48" s="65">
        <f>-K9*Assumptions!K51/365</f>
        <v>17680.556348208411</v>
      </c>
      <c r="L48" s="65">
        <f>-L9*Assumptions!L51/365</f>
        <v>19898.303511547161</v>
      </c>
    </row>
    <row r="49" spans="1:12" ht="15" customHeight="1" x14ac:dyDescent="0.45">
      <c r="B49" s="52" t="s">
        <v>269</v>
      </c>
      <c r="D49" s="54">
        <v>1297</v>
      </c>
      <c r="E49" s="65">
        <f>E7*Assumptions!E54</f>
        <v>3826.9127464050002</v>
      </c>
      <c r="F49" s="65">
        <f>F7*Assumptions!F54</f>
        <v>6693.2785500000018</v>
      </c>
      <c r="G49" s="65">
        <f>G7*Assumptions!G54</f>
        <v>9436.9941960000015</v>
      </c>
      <c r="H49" s="65">
        <f>H7*Assumptions!H54</f>
        <v>12432.130902695</v>
      </c>
      <c r="I49" s="65">
        <f>I7*Assumptions!I54</f>
        <v>15497.527048349501</v>
      </c>
      <c r="J49" s="65">
        <f>J7*Assumptions!J54</f>
        <v>18466.482382174505</v>
      </c>
      <c r="K49" s="65">
        <f>K7*Assumptions!K54</f>
        <v>21287.309705448224</v>
      </c>
      <c r="L49" s="65">
        <f>L7*Assumptions!L54</f>
        <v>23902.165134950199</v>
      </c>
    </row>
    <row r="50" spans="1:12" ht="15" customHeight="1" x14ac:dyDescent="0.45">
      <c r="B50" s="52" t="s">
        <v>270</v>
      </c>
      <c r="D50" s="54">
        <v>2045</v>
      </c>
      <c r="E50" s="65">
        <f>RevBuild!E9*Assumptions!E40+Assumptions!E41</f>
        <v>4690</v>
      </c>
      <c r="F50" s="65">
        <f>RevBuild!F9*Assumptions!F40+Assumptions!F41</f>
        <v>6898</v>
      </c>
      <c r="G50" s="65">
        <f>RevBuild!G9*Assumptions!G40+Assumptions!G41</f>
        <v>8811</v>
      </c>
      <c r="H50" s="65">
        <f>RevBuild!H9*Assumptions!H40+Assumptions!H41</f>
        <v>10545</v>
      </c>
      <c r="I50" s="65">
        <f>RevBuild!I9*Assumptions!I40+Assumptions!I41</f>
        <v>12099</v>
      </c>
      <c r="J50" s="65">
        <f>RevBuild!J9*Assumptions!J40+Assumptions!J41</f>
        <v>13474</v>
      </c>
      <c r="K50" s="65">
        <f>RevBuild!K9*Assumptions!K40+Assumptions!K41</f>
        <v>14670</v>
      </c>
      <c r="L50" s="65">
        <f>RevBuild!L9*Assumptions!L40+Assumptions!L41</f>
        <v>15688</v>
      </c>
    </row>
    <row r="51" spans="1:12" ht="15" customHeight="1" x14ac:dyDescent="0.45">
      <c r="B51" s="52" t="s">
        <v>271</v>
      </c>
      <c r="D51" s="54">
        <v>400</v>
      </c>
      <c r="E51" s="65">
        <f t="shared" ref="E51:L51" si="19">D51</f>
        <v>400</v>
      </c>
      <c r="F51" s="65">
        <f t="shared" si="19"/>
        <v>400</v>
      </c>
      <c r="G51" s="65">
        <f t="shared" si="19"/>
        <v>400</v>
      </c>
      <c r="H51" s="65">
        <f t="shared" si="19"/>
        <v>400</v>
      </c>
      <c r="I51" s="65">
        <f t="shared" si="19"/>
        <v>400</v>
      </c>
      <c r="J51" s="65">
        <f t="shared" si="19"/>
        <v>400</v>
      </c>
      <c r="K51" s="65">
        <f t="shared" si="19"/>
        <v>400</v>
      </c>
      <c r="L51" s="65">
        <f t="shared" si="19"/>
        <v>400</v>
      </c>
    </row>
    <row r="52" spans="1:12" ht="15" customHeight="1" x14ac:dyDescent="0.45">
      <c r="B52" s="48" t="s">
        <v>183</v>
      </c>
      <c r="D52" s="57">
        <f t="shared" ref="D52:L52" si="20">SUM(D48:D51)</f>
        <v>5306</v>
      </c>
      <c r="E52" s="57">
        <f t="shared" si="20"/>
        <v>11505.222680028233</v>
      </c>
      <c r="F52" s="57">
        <f t="shared" si="20"/>
        <v>19278.111652465755</v>
      </c>
      <c r="G52" s="57">
        <f t="shared" si="20"/>
        <v>26256.372532657537</v>
      </c>
      <c r="H52" s="57">
        <f t="shared" si="20"/>
        <v>33523.432776684043</v>
      </c>
      <c r="I52" s="57">
        <f t="shared" si="20"/>
        <v>40738.37235941668</v>
      </c>
      <c r="J52" s="57">
        <f t="shared" si="20"/>
        <v>47617.550331191087</v>
      </c>
      <c r="K52" s="57">
        <f t="shared" si="20"/>
        <v>54037.866053656631</v>
      </c>
      <c r="L52" s="57">
        <f t="shared" si="20"/>
        <v>59888.468646497364</v>
      </c>
    </row>
    <row r="54" spans="1:12" ht="15" customHeight="1" x14ac:dyDescent="0.45">
      <c r="B54" s="48" t="s">
        <v>272</v>
      </c>
      <c r="D54" s="50">
        <v>30317</v>
      </c>
      <c r="E54" s="89">
        <f t="shared" ref="E54:L54" si="21">E64</f>
        <v>31509.943964969843</v>
      </c>
      <c r="F54" s="89">
        <f t="shared" si="21"/>
        <v>34930.990735927073</v>
      </c>
      <c r="G54" s="89">
        <f t="shared" si="21"/>
        <v>41683.962339765378</v>
      </c>
      <c r="H54" s="89">
        <f t="shared" si="21"/>
        <v>52641.548718620877</v>
      </c>
      <c r="I54" s="89">
        <f t="shared" si="21"/>
        <v>67777.666669441343</v>
      </c>
      <c r="J54" s="89">
        <f t="shared" si="21"/>
        <v>86372.03235067382</v>
      </c>
      <c r="K54" s="89">
        <f t="shared" si="21"/>
        <v>109079.82938834943</v>
      </c>
      <c r="L54" s="89">
        <f t="shared" si="21"/>
        <v>135767.60004320156</v>
      </c>
    </row>
    <row r="55" spans="1:12" ht="15" customHeight="1" x14ac:dyDescent="0.45">
      <c r="B55" s="48" t="s">
        <v>273</v>
      </c>
      <c r="D55" s="90">
        <f t="shared" ref="D55:L55" si="22">D52+D54</f>
        <v>35623</v>
      </c>
      <c r="E55" s="90">
        <f t="shared" si="22"/>
        <v>43015.166644998077</v>
      </c>
      <c r="F55" s="90">
        <f t="shared" si="22"/>
        <v>54209.102388392828</v>
      </c>
      <c r="G55" s="90">
        <f t="shared" si="22"/>
        <v>67940.334872422914</v>
      </c>
      <c r="H55" s="90">
        <f t="shared" si="22"/>
        <v>86164.981495304921</v>
      </c>
      <c r="I55" s="90">
        <f t="shared" si="22"/>
        <v>108516.03902885802</v>
      </c>
      <c r="J55" s="90">
        <f t="shared" si="22"/>
        <v>133989.58268186491</v>
      </c>
      <c r="K55" s="90">
        <f t="shared" si="22"/>
        <v>163117.69544200605</v>
      </c>
      <c r="L55" s="90">
        <f t="shared" si="22"/>
        <v>195656.06868969894</v>
      </c>
    </row>
    <row r="56" spans="1:12" ht="15" customHeight="1" x14ac:dyDescent="0.45">
      <c r="B56" s="48" t="s">
        <v>274</v>
      </c>
      <c r="D56" s="64">
        <f t="shared" ref="D56:L56" si="23">D45-D55</f>
        <v>0</v>
      </c>
      <c r="E56" s="64">
        <f t="shared" si="23"/>
        <v>0</v>
      </c>
      <c r="F56" s="64">
        <f t="shared" si="23"/>
        <v>0</v>
      </c>
      <c r="G56" s="64">
        <f t="shared" si="23"/>
        <v>0</v>
      </c>
      <c r="H56" s="64">
        <f t="shared" si="23"/>
        <v>0</v>
      </c>
      <c r="I56" s="64">
        <f t="shared" si="23"/>
        <v>0</v>
      </c>
      <c r="J56" s="64">
        <f t="shared" si="23"/>
        <v>0</v>
      </c>
      <c r="K56" s="64">
        <f t="shared" si="23"/>
        <v>0</v>
      </c>
      <c r="L56" s="64">
        <f t="shared" si="23"/>
        <v>0</v>
      </c>
    </row>
    <row r="58" spans="1:12" ht="15" customHeight="1" x14ac:dyDescent="0.45">
      <c r="A58" s="41" t="s">
        <v>471</v>
      </c>
      <c r="B58" s="47" t="s">
        <v>275</v>
      </c>
    </row>
    <row r="59" spans="1:12" ht="15" customHeight="1" x14ac:dyDescent="0.45">
      <c r="B59" s="52" t="s">
        <v>276</v>
      </c>
      <c r="E59" s="65">
        <f t="shared" ref="E59:L59" si="24">D54</f>
        <v>30317</v>
      </c>
      <c r="F59" s="65">
        <f t="shared" si="24"/>
        <v>31509.943964969843</v>
      </c>
      <c r="G59" s="65">
        <f t="shared" si="24"/>
        <v>34930.990735927073</v>
      </c>
      <c r="H59" s="65">
        <f t="shared" si="24"/>
        <v>41683.962339765378</v>
      </c>
      <c r="I59" s="65">
        <f t="shared" si="24"/>
        <v>52641.548718620877</v>
      </c>
      <c r="J59" s="65">
        <f t="shared" si="24"/>
        <v>67777.666669441343</v>
      </c>
      <c r="K59" s="65">
        <f t="shared" si="24"/>
        <v>86372.03235067382</v>
      </c>
      <c r="L59" s="65">
        <f t="shared" si="24"/>
        <v>109079.82938834943</v>
      </c>
    </row>
    <row r="60" spans="1:12" ht="15" customHeight="1" x14ac:dyDescent="0.45">
      <c r="B60" s="52" t="s">
        <v>277</v>
      </c>
      <c r="E60" s="65">
        <f t="shared" ref="E60:L60" si="25">E31</f>
        <v>382.94396496984371</v>
      </c>
      <c r="F60" s="65">
        <f t="shared" si="25"/>
        <v>2561.0467709572285</v>
      </c>
      <c r="G60" s="65">
        <f t="shared" si="25"/>
        <v>5842.971603838304</v>
      </c>
      <c r="H60" s="65">
        <f t="shared" si="25"/>
        <v>9997.5863788555016</v>
      </c>
      <c r="I60" s="65">
        <f t="shared" si="25"/>
        <v>14126.117950820462</v>
      </c>
      <c r="J60" s="65">
        <f t="shared" si="25"/>
        <v>17534.365681232473</v>
      </c>
      <c r="K60" s="65">
        <f t="shared" si="25"/>
        <v>21597.797037675613</v>
      </c>
      <c r="L60" s="65">
        <f t="shared" si="25"/>
        <v>25527.770654852127</v>
      </c>
    </row>
    <row r="61" spans="1:12" ht="15" customHeight="1" x14ac:dyDescent="0.45">
      <c r="B61" s="52" t="s">
        <v>278</v>
      </c>
      <c r="E61" s="55">
        <f>Assumptions!E37</f>
        <v>810</v>
      </c>
      <c r="F61" s="55">
        <f>Assumptions!F37</f>
        <v>860</v>
      </c>
      <c r="G61" s="55">
        <f>Assumptions!G37</f>
        <v>910</v>
      </c>
      <c r="H61" s="55">
        <f>Assumptions!H37</f>
        <v>960</v>
      </c>
      <c r="I61" s="55">
        <f>Assumptions!I37</f>
        <v>1010</v>
      </c>
      <c r="J61" s="55">
        <f>Assumptions!J37</f>
        <v>1060</v>
      </c>
      <c r="K61" s="55">
        <f>Assumptions!K37</f>
        <v>1110</v>
      </c>
      <c r="L61" s="55">
        <f>Assumptions!L37</f>
        <v>1160</v>
      </c>
    </row>
    <row r="62" spans="1:12" ht="15" customHeight="1" x14ac:dyDescent="0.45">
      <c r="B62" s="52" t="s">
        <v>279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</row>
    <row r="63" spans="1:12" ht="15" customHeight="1" x14ac:dyDescent="0.45">
      <c r="B63" s="52" t="s">
        <v>280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</row>
    <row r="64" spans="1:12" ht="15" customHeight="1" x14ac:dyDescent="0.45">
      <c r="B64" s="48" t="s">
        <v>281</v>
      </c>
      <c r="E64" s="57">
        <f t="shared" ref="E64:L64" si="26">SUM(E59:E63)</f>
        <v>31509.943964969843</v>
      </c>
      <c r="F64" s="57">
        <f t="shared" si="26"/>
        <v>34930.990735927073</v>
      </c>
      <c r="G64" s="57">
        <f t="shared" si="26"/>
        <v>41683.962339765378</v>
      </c>
      <c r="H64" s="57">
        <f t="shared" si="26"/>
        <v>52641.548718620877</v>
      </c>
      <c r="I64" s="57">
        <f t="shared" si="26"/>
        <v>67777.666669441343</v>
      </c>
      <c r="J64" s="57">
        <f t="shared" si="26"/>
        <v>86372.03235067382</v>
      </c>
      <c r="K64" s="57">
        <f t="shared" si="26"/>
        <v>109079.82938834943</v>
      </c>
      <c r="L64" s="57">
        <f t="shared" si="26"/>
        <v>135767.60004320156</v>
      </c>
    </row>
    <row r="66" spans="1:12" ht="15" customHeight="1" x14ac:dyDescent="0.45">
      <c r="A66" s="41" t="s">
        <v>471</v>
      </c>
      <c r="B66" s="47" t="s">
        <v>282</v>
      </c>
    </row>
    <row r="67" spans="1:12" ht="15" customHeight="1" x14ac:dyDescent="0.45">
      <c r="B67" s="52" t="s">
        <v>125</v>
      </c>
      <c r="E67" s="65">
        <f t="shared" ref="E67:L67" si="27">E31</f>
        <v>382.94396496984371</v>
      </c>
      <c r="F67" s="65">
        <f t="shared" si="27"/>
        <v>2561.0467709572285</v>
      </c>
      <c r="G67" s="65">
        <f t="shared" si="27"/>
        <v>5842.971603838304</v>
      </c>
      <c r="H67" s="65">
        <f t="shared" si="27"/>
        <v>9997.5863788555016</v>
      </c>
      <c r="I67" s="65">
        <f t="shared" si="27"/>
        <v>14126.117950820462</v>
      </c>
      <c r="J67" s="65">
        <f t="shared" si="27"/>
        <v>17534.365681232473</v>
      </c>
      <c r="K67" s="65">
        <f t="shared" si="27"/>
        <v>21597.797037675613</v>
      </c>
      <c r="L67" s="65">
        <f t="shared" si="27"/>
        <v>25527.770654852127</v>
      </c>
    </row>
    <row r="68" spans="1:12" ht="15" customHeight="1" x14ac:dyDescent="0.45">
      <c r="B68" s="52" t="s">
        <v>283</v>
      </c>
      <c r="E68" s="65">
        <f t="shared" ref="E68:L68" si="28">-E24</f>
        <v>1585.22052029</v>
      </c>
      <c r="F68" s="65">
        <f t="shared" si="28"/>
        <v>1914.9270053335999</v>
      </c>
      <c r="G68" s="65">
        <f t="shared" si="28"/>
        <v>2368.6686969602242</v>
      </c>
      <c r="H68" s="65">
        <f t="shared" si="28"/>
        <v>2901.9657369881888</v>
      </c>
      <c r="I68" s="65">
        <f t="shared" si="28"/>
        <v>3453.1380518082392</v>
      </c>
      <c r="J68" s="65">
        <f t="shared" si="28"/>
        <v>4010.7532430737542</v>
      </c>
      <c r="K68" s="65">
        <f t="shared" si="28"/>
        <v>4577.4457770419012</v>
      </c>
      <c r="L68" s="65">
        <f t="shared" si="28"/>
        <v>5133.8389317814499</v>
      </c>
    </row>
    <row r="69" spans="1:12" ht="15" customHeight="1" x14ac:dyDescent="0.45">
      <c r="B69" s="52" t="s">
        <v>84</v>
      </c>
      <c r="E69" s="55">
        <f>Assumptions!E37</f>
        <v>810</v>
      </c>
      <c r="F69" s="55">
        <f>Assumptions!F37</f>
        <v>860</v>
      </c>
      <c r="G69" s="55">
        <f>Assumptions!G37</f>
        <v>910</v>
      </c>
      <c r="H69" s="55">
        <f>Assumptions!H37</f>
        <v>960</v>
      </c>
      <c r="I69" s="55">
        <f>Assumptions!I37</f>
        <v>1010</v>
      </c>
      <c r="J69" s="55">
        <f>Assumptions!J37</f>
        <v>1060</v>
      </c>
      <c r="K69" s="55">
        <f>Assumptions!K37</f>
        <v>1110</v>
      </c>
      <c r="L69" s="55">
        <f>Assumptions!L37</f>
        <v>1160</v>
      </c>
    </row>
    <row r="70" spans="1:12" ht="15" customHeight="1" x14ac:dyDescent="0.45">
      <c r="B70" s="52" t="s">
        <v>284</v>
      </c>
      <c r="E70" s="65">
        <f t="shared" ref="E70:L72" si="29">-(E37-D37)</f>
        <v>-542.87796902417517</v>
      </c>
      <c r="F70" s="65">
        <f t="shared" si="29"/>
        <v>-1259.3108121265102</v>
      </c>
      <c r="G70" s="65">
        <f t="shared" si="29"/>
        <v>-1083.3877759561642</v>
      </c>
      <c r="H70" s="65">
        <f t="shared" si="29"/>
        <v>-1184.3643174213703</v>
      </c>
      <c r="I70" s="65">
        <f t="shared" si="29"/>
        <v>-1211.253603969797</v>
      </c>
      <c r="J70" s="65">
        <f t="shared" si="29"/>
        <v>-1183.1038977097214</v>
      </c>
      <c r="K70" s="65">
        <f t="shared" si="29"/>
        <v>-1121.6279196228534</v>
      </c>
      <c r="L70" s="65">
        <f t="shared" si="29"/>
        <v>-1034.9486762247507</v>
      </c>
    </row>
    <row r="71" spans="1:12" ht="15" customHeight="1" x14ac:dyDescent="0.45">
      <c r="B71" s="52" t="s">
        <v>285</v>
      </c>
      <c r="E71" s="65">
        <f t="shared" si="29"/>
        <v>742.74943361095893</v>
      </c>
      <c r="F71" s="65">
        <f t="shared" si="29"/>
        <v>-897.49222813150709</v>
      </c>
      <c r="G71" s="65">
        <f t="shared" si="29"/>
        <v>-859.08904767123249</v>
      </c>
      <c r="H71" s="65">
        <f t="shared" si="29"/>
        <v>-937.81188467945231</v>
      </c>
      <c r="I71" s="65">
        <f t="shared" si="29"/>
        <v>-959.81092623232826</v>
      </c>
      <c r="J71" s="65">
        <f t="shared" si="29"/>
        <v>-929.61419454403222</v>
      </c>
      <c r="K71" s="65">
        <f t="shared" si="29"/>
        <v>-883.2336041561548</v>
      </c>
      <c r="L71" s="65">
        <f t="shared" si="29"/>
        <v>-818.74142606715486</v>
      </c>
    </row>
    <row r="72" spans="1:12" ht="15" customHeight="1" x14ac:dyDescent="0.45">
      <c r="B72" s="52" t="s">
        <v>286</v>
      </c>
      <c r="E72" s="65">
        <f t="shared" si="29"/>
        <v>113.19271634000006</v>
      </c>
      <c r="F72" s="65">
        <f t="shared" si="29"/>
        <v>-1637.9233163400008</v>
      </c>
      <c r="G72" s="65">
        <f t="shared" si="29"/>
        <v>-1567.8375119999992</v>
      </c>
      <c r="H72" s="65">
        <f t="shared" si="29"/>
        <v>-1711.5066895400005</v>
      </c>
      <c r="I72" s="65">
        <f t="shared" si="29"/>
        <v>-1751.6549403739991</v>
      </c>
      <c r="J72" s="65">
        <f t="shared" si="29"/>
        <v>-1696.5459050428599</v>
      </c>
      <c r="K72" s="65">
        <f t="shared" si="29"/>
        <v>-1611.9013275849811</v>
      </c>
      <c r="L72" s="65">
        <f t="shared" si="29"/>
        <v>-1494.2031025725591</v>
      </c>
    </row>
    <row r="73" spans="1:12" ht="15" customHeight="1" x14ac:dyDescent="0.45">
      <c r="B73" s="52" t="s">
        <v>287</v>
      </c>
      <c r="E73" s="65">
        <f t="shared" ref="E73:L73" si="30">-(E44-D44)</f>
        <v>0</v>
      </c>
      <c r="F73" s="65">
        <f t="shared" si="30"/>
        <v>0</v>
      </c>
      <c r="G73" s="65">
        <f t="shared" si="30"/>
        <v>0</v>
      </c>
      <c r="H73" s="65">
        <f t="shared" si="30"/>
        <v>0</v>
      </c>
      <c r="I73" s="65">
        <f t="shared" si="30"/>
        <v>0</v>
      </c>
      <c r="J73" s="65">
        <f t="shared" si="30"/>
        <v>0</v>
      </c>
      <c r="K73" s="65">
        <f t="shared" si="30"/>
        <v>0</v>
      </c>
      <c r="L73" s="65">
        <f t="shared" si="30"/>
        <v>0</v>
      </c>
    </row>
    <row r="74" spans="1:12" ht="15" customHeight="1" x14ac:dyDescent="0.45">
      <c r="B74" s="52" t="s">
        <v>288</v>
      </c>
      <c r="E74" s="65">
        <f t="shared" ref="E74:L75" si="31">E48-D48</f>
        <v>1024.3099336232326</v>
      </c>
      <c r="F74" s="65">
        <f t="shared" si="31"/>
        <v>2698.523168842522</v>
      </c>
      <c r="G74" s="65">
        <f t="shared" si="31"/>
        <v>2321.5452341917808</v>
      </c>
      <c r="H74" s="65">
        <f t="shared" si="31"/>
        <v>2537.9235373315078</v>
      </c>
      <c r="I74" s="65">
        <f t="shared" si="31"/>
        <v>2595.5434370781331</v>
      </c>
      <c r="J74" s="65">
        <f t="shared" si="31"/>
        <v>2535.2226379494077</v>
      </c>
      <c r="K74" s="65">
        <f t="shared" si="31"/>
        <v>2403.4883991918268</v>
      </c>
      <c r="L74" s="65">
        <f t="shared" si="31"/>
        <v>2217.7471633387504</v>
      </c>
    </row>
    <row r="75" spans="1:12" ht="15" customHeight="1" x14ac:dyDescent="0.45">
      <c r="B75" s="52" t="s">
        <v>289</v>
      </c>
      <c r="E75" s="65">
        <f t="shared" si="31"/>
        <v>2529.9127464050002</v>
      </c>
      <c r="F75" s="65">
        <f t="shared" si="31"/>
        <v>2866.3658035950016</v>
      </c>
      <c r="G75" s="65">
        <f t="shared" si="31"/>
        <v>2743.7156459999997</v>
      </c>
      <c r="H75" s="65">
        <f t="shared" si="31"/>
        <v>2995.1367066949988</v>
      </c>
      <c r="I75" s="65">
        <f t="shared" si="31"/>
        <v>3065.3961456545003</v>
      </c>
      <c r="J75" s="65">
        <f t="shared" si="31"/>
        <v>2968.9553338250043</v>
      </c>
      <c r="K75" s="65">
        <f t="shared" si="31"/>
        <v>2820.8273232737192</v>
      </c>
      <c r="L75" s="65">
        <f t="shared" si="31"/>
        <v>2614.8554295019749</v>
      </c>
    </row>
    <row r="76" spans="1:12" ht="15" customHeight="1" x14ac:dyDescent="0.45">
      <c r="B76" s="52" t="s">
        <v>290</v>
      </c>
      <c r="E76" s="65">
        <f t="shared" ref="E76:L76" si="32">E51-D51</f>
        <v>0</v>
      </c>
      <c r="F76" s="65">
        <f t="shared" si="32"/>
        <v>0</v>
      </c>
      <c r="G76" s="65">
        <f t="shared" si="32"/>
        <v>0</v>
      </c>
      <c r="H76" s="65">
        <f t="shared" si="32"/>
        <v>0</v>
      </c>
      <c r="I76" s="65">
        <f t="shared" si="32"/>
        <v>0</v>
      </c>
      <c r="J76" s="65">
        <f t="shared" si="32"/>
        <v>0</v>
      </c>
      <c r="K76" s="65">
        <f t="shared" si="32"/>
        <v>0</v>
      </c>
      <c r="L76" s="65">
        <f t="shared" si="32"/>
        <v>0</v>
      </c>
    </row>
    <row r="77" spans="1:12" ht="15" customHeight="1" x14ac:dyDescent="0.45">
      <c r="B77" s="48" t="s">
        <v>291</v>
      </c>
      <c r="E77" s="57">
        <f t="shared" ref="E77:L77" si="33">SUM(E67:E76)</f>
        <v>6645.4513462148607</v>
      </c>
      <c r="F77" s="57">
        <f t="shared" si="33"/>
        <v>7106.1363921303328</v>
      </c>
      <c r="G77" s="57">
        <f t="shared" si="33"/>
        <v>10676.586845362914</v>
      </c>
      <c r="H77" s="57">
        <f t="shared" si="33"/>
        <v>15558.929468229373</v>
      </c>
      <c r="I77" s="57">
        <f t="shared" si="33"/>
        <v>20327.476114785215</v>
      </c>
      <c r="J77" s="57">
        <f t="shared" si="33"/>
        <v>24300.032898784026</v>
      </c>
      <c r="K77" s="57">
        <f t="shared" si="33"/>
        <v>28892.795685819074</v>
      </c>
      <c r="L77" s="57">
        <f t="shared" si="33"/>
        <v>33306.318974609836</v>
      </c>
    </row>
    <row r="78" spans="1:12" ht="15" customHeight="1" x14ac:dyDescent="0.45">
      <c r="B78" s="52" t="s">
        <v>292</v>
      </c>
      <c r="E78" s="65">
        <f>-(RevBuild!E8*Assumptions!E43+RevBuild!E12*Assumptions!E44+(RevBuild!E23+RevBuild!E29+RevBuild!E31+RevBuild!E33)*Assumptions!E45)</f>
        <v>-1256.950253625</v>
      </c>
      <c r="F78" s="65">
        <f>-(RevBuild!F8*Assumptions!F43+RevBuild!F12*Assumptions!F44+(RevBuild!F23+RevBuild!F29+RevBuild!F31+RevBuild!F33)*Assumptions!F45)</f>
        <v>-1509.3691000000001</v>
      </c>
      <c r="G78" s="65">
        <f>-(RevBuild!G8*Assumptions!G43+RevBuild!G12*Assumptions!G44+(RevBuild!G23+RevBuild!G29+RevBuild!G31+RevBuild!G33)*Assumptions!G45)</f>
        <v>-1779.6485559999999</v>
      </c>
      <c r="H78" s="65">
        <f>-(RevBuild!H8*Assumptions!H43+RevBuild!H12*Assumptions!H44+(RevBuild!H23+RevBuild!H29+RevBuild!H31+RevBuild!H33)*Assumptions!H45)</f>
        <v>-1989.3293382699999</v>
      </c>
      <c r="I78" s="65">
        <f>-(RevBuild!I8*Assumptions!I43+RevBuild!I12*Assumptions!I44+(RevBuild!I23+RevBuild!I29+RevBuild!I31+RevBuild!I33)*Assumptions!I45)</f>
        <v>-2203.2160709569998</v>
      </c>
      <c r="J78" s="65">
        <f>-(RevBuild!J8*Assumptions!J43+RevBuild!J12*Assumptions!J44+(RevBuild!J23+RevBuild!J29+RevBuild!J31+RevBuild!J33)*Assumptions!J45)</f>
        <v>-2384.5524234784298</v>
      </c>
      <c r="K78" s="65">
        <f>-(RevBuild!K8*Assumptions!K43+RevBuild!K12*Assumptions!K44+(RevBuild!K23+RevBuild!K29+RevBuild!K31+RevBuild!K33)*Assumptions!K45)</f>
        <v>-2549.4782372709196</v>
      </c>
      <c r="L78" s="65">
        <f>-(RevBuild!L8*Assumptions!L43+RevBuild!L12*Assumptions!L44+(RevBuild!L23+RevBuild!L29+RevBuild!L31+RevBuild!L33)*Assumptions!L45)</f>
        <v>-2692.7427510572006</v>
      </c>
    </row>
    <row r="79" spans="1:12" ht="15" customHeight="1" x14ac:dyDescent="0.45">
      <c r="B79" s="48" t="s">
        <v>293</v>
      </c>
      <c r="E79" s="89">
        <f t="shared" ref="E79:L79" si="34">E78</f>
        <v>-1256.950253625</v>
      </c>
      <c r="F79" s="89">
        <f t="shared" si="34"/>
        <v>-1509.3691000000001</v>
      </c>
      <c r="G79" s="89">
        <f t="shared" si="34"/>
        <v>-1779.6485559999999</v>
      </c>
      <c r="H79" s="89">
        <f t="shared" si="34"/>
        <v>-1989.3293382699999</v>
      </c>
      <c r="I79" s="89">
        <f t="shared" si="34"/>
        <v>-2203.2160709569998</v>
      </c>
      <c r="J79" s="89">
        <f t="shared" si="34"/>
        <v>-2384.5524234784298</v>
      </c>
      <c r="K79" s="89">
        <f t="shared" si="34"/>
        <v>-2549.4782372709196</v>
      </c>
      <c r="L79" s="89">
        <f t="shared" si="34"/>
        <v>-2692.7427510572006</v>
      </c>
    </row>
    <row r="80" spans="1:12" ht="15" customHeight="1" x14ac:dyDescent="0.45">
      <c r="B80" s="52" t="s">
        <v>294</v>
      </c>
      <c r="E80" s="65">
        <f t="shared" ref="E80:L80" si="35">-E90</f>
        <v>-644.00450000000001</v>
      </c>
      <c r="F80" s="65">
        <f t="shared" si="35"/>
        <v>-893.25999999999988</v>
      </c>
      <c r="G80" s="65">
        <f t="shared" si="35"/>
        <v>-1231.8050000000003</v>
      </c>
      <c r="H80" s="65">
        <f t="shared" si="35"/>
        <v>-1614.42</v>
      </c>
      <c r="I80" s="65">
        <f t="shared" si="35"/>
        <v>-2007.7800000000002</v>
      </c>
      <c r="J80" s="65">
        <f t="shared" si="35"/>
        <v>-2402.7849999999999</v>
      </c>
      <c r="K80" s="65">
        <f t="shared" si="35"/>
        <v>-2806.08</v>
      </c>
      <c r="L80" s="65">
        <f t="shared" si="35"/>
        <v>-3200.5099999999998</v>
      </c>
    </row>
    <row r="81" spans="1:12" ht="15" customHeight="1" x14ac:dyDescent="0.45">
      <c r="B81" s="48" t="s">
        <v>295</v>
      </c>
      <c r="E81" s="89">
        <f t="shared" ref="E81:L81" si="36">E80</f>
        <v>-644.00450000000001</v>
      </c>
      <c r="F81" s="89">
        <f t="shared" si="36"/>
        <v>-893.25999999999988</v>
      </c>
      <c r="G81" s="89">
        <f t="shared" si="36"/>
        <v>-1231.8050000000003</v>
      </c>
      <c r="H81" s="89">
        <f t="shared" si="36"/>
        <v>-1614.42</v>
      </c>
      <c r="I81" s="89">
        <f t="shared" si="36"/>
        <v>-2007.7800000000002</v>
      </c>
      <c r="J81" s="89">
        <f t="shared" si="36"/>
        <v>-2402.7849999999999</v>
      </c>
      <c r="K81" s="89">
        <f t="shared" si="36"/>
        <v>-2806.08</v>
      </c>
      <c r="L81" s="89">
        <f t="shared" si="36"/>
        <v>-3200.5099999999998</v>
      </c>
    </row>
    <row r="82" spans="1:12" ht="15" customHeight="1" x14ac:dyDescent="0.45">
      <c r="B82" s="48" t="s">
        <v>296</v>
      </c>
      <c r="E82" s="57">
        <f t="shared" ref="E82:L82" si="37">E77+E79+E81</f>
        <v>4744.4965925898605</v>
      </c>
      <c r="F82" s="57">
        <f t="shared" si="37"/>
        <v>4703.5072921303326</v>
      </c>
      <c r="G82" s="57">
        <f t="shared" si="37"/>
        <v>7665.1332893629133</v>
      </c>
      <c r="H82" s="57">
        <f t="shared" si="37"/>
        <v>11955.180129959374</v>
      </c>
      <c r="I82" s="57">
        <f t="shared" si="37"/>
        <v>16116.480043828216</v>
      </c>
      <c r="J82" s="57">
        <f t="shared" si="37"/>
        <v>19512.695475305594</v>
      </c>
      <c r="K82" s="57">
        <f t="shared" si="37"/>
        <v>23537.237448548156</v>
      </c>
      <c r="L82" s="57">
        <f t="shared" si="37"/>
        <v>27413.066223552636</v>
      </c>
    </row>
    <row r="83" spans="1:12" ht="15" customHeight="1" x14ac:dyDescent="0.45">
      <c r="B83" s="52" t="s">
        <v>297</v>
      </c>
      <c r="E83" s="65">
        <f t="shared" ref="E83:L83" si="38">D36</f>
        <v>18857</v>
      </c>
      <c r="F83" s="65">
        <f t="shared" si="38"/>
        <v>23601.496592589861</v>
      </c>
      <c r="G83" s="65">
        <f t="shared" si="38"/>
        <v>28305.003884720194</v>
      </c>
      <c r="H83" s="65">
        <f t="shared" si="38"/>
        <v>35970.137174083109</v>
      </c>
      <c r="I83" s="65">
        <f t="shared" si="38"/>
        <v>47925.317304042481</v>
      </c>
      <c r="J83" s="65">
        <f t="shared" si="38"/>
        <v>64041.797347870699</v>
      </c>
      <c r="K83" s="65">
        <f t="shared" si="38"/>
        <v>83554.49282317629</v>
      </c>
      <c r="L83" s="65">
        <f t="shared" si="38"/>
        <v>107091.73027172445</v>
      </c>
    </row>
    <row r="84" spans="1:12" ht="15" customHeight="1" x14ac:dyDescent="0.45">
      <c r="B84" s="48" t="s">
        <v>298</v>
      </c>
      <c r="E84" s="89">
        <f t="shared" ref="E84:L84" si="39">E82+E83</f>
        <v>23601.496592589861</v>
      </c>
      <c r="F84" s="89">
        <f t="shared" si="39"/>
        <v>28305.003884720194</v>
      </c>
      <c r="G84" s="89">
        <f t="shared" si="39"/>
        <v>35970.137174083109</v>
      </c>
      <c r="H84" s="89">
        <f t="shared" si="39"/>
        <v>47925.317304042481</v>
      </c>
      <c r="I84" s="89">
        <f t="shared" si="39"/>
        <v>64041.797347870699</v>
      </c>
      <c r="J84" s="89">
        <f t="shared" si="39"/>
        <v>83554.49282317629</v>
      </c>
      <c r="K84" s="89">
        <f t="shared" si="39"/>
        <v>107091.73027172445</v>
      </c>
      <c r="L84" s="89">
        <f t="shared" si="39"/>
        <v>134504.79649527709</v>
      </c>
    </row>
    <row r="85" spans="1:12" ht="15" customHeight="1" x14ac:dyDescent="0.45">
      <c r="B85" s="52" t="s">
        <v>299</v>
      </c>
      <c r="E85" s="65">
        <f t="shared" ref="E85:L85" si="40">E77+E78</f>
        <v>5388.5010925898605</v>
      </c>
      <c r="F85" s="65">
        <f t="shared" si="40"/>
        <v>5596.7672921303329</v>
      </c>
      <c r="G85" s="65">
        <f t="shared" si="40"/>
        <v>8896.9382893629136</v>
      </c>
      <c r="H85" s="65">
        <f t="shared" si="40"/>
        <v>13569.600129959374</v>
      </c>
      <c r="I85" s="65">
        <f t="shared" si="40"/>
        <v>18124.260043828217</v>
      </c>
      <c r="J85" s="65">
        <f t="shared" si="40"/>
        <v>21915.480475305594</v>
      </c>
      <c r="K85" s="65">
        <f t="shared" si="40"/>
        <v>26343.317448548154</v>
      </c>
      <c r="L85" s="65">
        <f t="shared" si="40"/>
        <v>30613.576223552634</v>
      </c>
    </row>
    <row r="87" spans="1:12" ht="15" customHeight="1" x14ac:dyDescent="0.45">
      <c r="A87" s="41" t="s">
        <v>471</v>
      </c>
      <c r="B87" s="47" t="s">
        <v>499</v>
      </c>
    </row>
    <row r="88" spans="1:12" ht="15" customHeight="1" x14ac:dyDescent="0.45">
      <c r="B88" s="52" t="s">
        <v>300</v>
      </c>
      <c r="D88" s="65">
        <f>RevBuild!D10*Assumptions!D38+Assumptions!D39</f>
        <v>569.85349999999994</v>
      </c>
      <c r="E88" s="65">
        <f>RevBuild!E10*Assumptions!E38+Assumptions!E39</f>
        <v>1014.4295000000001</v>
      </c>
      <c r="F88" s="65">
        <f>RevBuild!F10*Assumptions!F38+Assumptions!F39</f>
        <v>1530.6</v>
      </c>
      <c r="G88" s="65">
        <f>RevBuild!G10*Assumptions!G38+Assumptions!G39</f>
        <v>2095.8000000000002</v>
      </c>
      <c r="H88" s="65">
        <f>RevBuild!H10*Assumptions!H38+Assumptions!H39</f>
        <v>2679</v>
      </c>
      <c r="I88" s="65">
        <f>RevBuild!I10*Assumptions!I38+Assumptions!I39</f>
        <v>3253.2000000000003</v>
      </c>
      <c r="J88" s="65">
        <f>RevBuild!J10*Assumptions!J38+Assumptions!J39</f>
        <v>3809.3</v>
      </c>
      <c r="K88" s="65">
        <f>RevBuild!K10*Assumptions!K38+Assumptions!K39</f>
        <v>4354</v>
      </c>
      <c r="L88" s="65">
        <f>RevBuild!L10*Assumptions!L38+Assumptions!L39</f>
        <v>4870.2</v>
      </c>
    </row>
    <row r="89" spans="1:12" ht="15" customHeight="1" x14ac:dyDescent="0.45">
      <c r="B89" s="52" t="s">
        <v>301</v>
      </c>
      <c r="D89" s="54">
        <v>154</v>
      </c>
      <c r="E89" s="65">
        <f>(E50+D50)/2*Assumptions!E42</f>
        <v>370.42500000000001</v>
      </c>
      <c r="F89" s="65">
        <f>(F50+E50)/2*Assumptions!F42</f>
        <v>637.34</v>
      </c>
      <c r="G89" s="65">
        <f>(G50+F50)/2*Assumptions!G42</f>
        <v>863.995</v>
      </c>
      <c r="H89" s="65">
        <f>(H50+G50)/2*Assumptions!H42</f>
        <v>1064.58</v>
      </c>
      <c r="I89" s="65">
        <f>(I50+H50)/2*Assumptions!I42</f>
        <v>1245.42</v>
      </c>
      <c r="J89" s="65">
        <f>(J50+I50)/2*Assumptions!J42</f>
        <v>1406.5150000000001</v>
      </c>
      <c r="K89" s="65">
        <f>(K50+J50)/2*Assumptions!K42</f>
        <v>1547.92</v>
      </c>
      <c r="L89" s="65">
        <f>(L50+K50)/2*Assumptions!L42</f>
        <v>1669.69</v>
      </c>
    </row>
    <row r="90" spans="1:12" ht="15" customHeight="1" x14ac:dyDescent="0.45">
      <c r="B90" s="52" t="s">
        <v>302</v>
      </c>
      <c r="D90" s="65">
        <f t="shared" ref="D90:L90" si="41">D88-D89</f>
        <v>415.85349999999994</v>
      </c>
      <c r="E90" s="65">
        <f t="shared" si="41"/>
        <v>644.00450000000001</v>
      </c>
      <c r="F90" s="65">
        <f t="shared" si="41"/>
        <v>893.25999999999988</v>
      </c>
      <c r="G90" s="65">
        <f t="shared" si="41"/>
        <v>1231.8050000000003</v>
      </c>
      <c r="H90" s="65">
        <f t="shared" si="41"/>
        <v>1614.42</v>
      </c>
      <c r="I90" s="65">
        <f t="shared" si="41"/>
        <v>2007.7800000000002</v>
      </c>
      <c r="J90" s="65">
        <f t="shared" si="41"/>
        <v>2402.7849999999999</v>
      </c>
      <c r="K90" s="65">
        <f t="shared" si="41"/>
        <v>2806.08</v>
      </c>
      <c r="L90" s="65">
        <f t="shared" si="41"/>
        <v>3200.5099999999998</v>
      </c>
    </row>
    <row r="91" spans="1:12" ht="15" customHeight="1" x14ac:dyDescent="0.45">
      <c r="B91" s="52" t="s">
        <v>303</v>
      </c>
      <c r="E91" s="65">
        <f t="shared" ref="E91:L91" si="42">E50-D50+E90</f>
        <v>3289.0045</v>
      </c>
      <c r="F91" s="65">
        <f t="shared" si="42"/>
        <v>3101.2599999999998</v>
      </c>
      <c r="G91" s="65">
        <f t="shared" si="42"/>
        <v>3144.8050000000003</v>
      </c>
      <c r="H91" s="65">
        <f t="shared" si="42"/>
        <v>3348.42</v>
      </c>
      <c r="I91" s="65">
        <f t="shared" si="42"/>
        <v>3561.78</v>
      </c>
      <c r="J91" s="65">
        <f t="shared" si="42"/>
        <v>3777.7849999999999</v>
      </c>
      <c r="K91" s="65">
        <f t="shared" si="42"/>
        <v>4002.08</v>
      </c>
      <c r="L91" s="65">
        <f t="shared" si="42"/>
        <v>4218.51</v>
      </c>
    </row>
    <row r="92" spans="1:12" ht="15" customHeight="1" x14ac:dyDescent="0.45">
      <c r="B92" s="52" t="s">
        <v>304</v>
      </c>
      <c r="D92" s="54">
        <v>420</v>
      </c>
      <c r="E92" s="65">
        <f t="shared" ref="E92:L92" si="43">D41+E91-E41</f>
        <v>1040.5045</v>
      </c>
      <c r="F92" s="65">
        <f t="shared" si="43"/>
        <v>1224.46</v>
      </c>
      <c r="G92" s="65">
        <f t="shared" si="43"/>
        <v>1518.7550000000001</v>
      </c>
      <c r="H92" s="65">
        <f t="shared" si="43"/>
        <v>1874.5200000000004</v>
      </c>
      <c r="I92" s="65">
        <f t="shared" si="43"/>
        <v>2240.880000000001</v>
      </c>
      <c r="J92" s="65">
        <f t="shared" si="43"/>
        <v>2609.0349999999999</v>
      </c>
      <c r="K92" s="65">
        <f t="shared" si="43"/>
        <v>2985.4799999999996</v>
      </c>
      <c r="L92" s="65">
        <f t="shared" si="43"/>
        <v>3353.2100000000028</v>
      </c>
    </row>
    <row r="93" spans="1:12" ht="15" customHeight="1" x14ac:dyDescent="0.45">
      <c r="B93" s="52" t="s">
        <v>305</v>
      </c>
      <c r="D93" s="54">
        <v>193</v>
      </c>
      <c r="E93" s="65">
        <f>(D40+0.5*-E78)*Assumptions!E46</f>
        <v>284.71602029000002</v>
      </c>
      <c r="F93" s="65">
        <f>(E40+0.5*-F78)*Assumptions!F46</f>
        <v>460.46700533360001</v>
      </c>
      <c r="G93" s="65">
        <f>(F40+0.5*-G78)*Assumptions!G46</f>
        <v>649.91369696022412</v>
      </c>
      <c r="H93" s="65">
        <f>(G40+0.5*-H78)*Assumptions!H46</f>
        <v>847.44573698818817</v>
      </c>
      <c r="I93" s="65">
        <f>(H40+0.5*-I78)*Assumptions!I46</f>
        <v>1047.2580518082382</v>
      </c>
      <c r="J93" s="65">
        <f>(I40+0.5*-J78)*Assumptions!J46</f>
        <v>1246.7182430737544</v>
      </c>
      <c r="K93" s="65">
        <f>(J40+0.5*-K78)*Assumptions!K46</f>
        <v>1441.9657770419017</v>
      </c>
      <c r="L93" s="65">
        <f>(K40+0.5*-L78)*Assumptions!L46</f>
        <v>1630.6289317814471</v>
      </c>
    </row>
    <row r="94" spans="1:12" ht="15" customHeight="1" x14ac:dyDescent="0.45">
      <c r="B94" s="48" t="s">
        <v>306</v>
      </c>
      <c r="D94" s="89">
        <f t="shared" ref="D94:L94" si="44">D36-D50</f>
        <v>16812</v>
      </c>
      <c r="E94" s="89">
        <f t="shared" si="44"/>
        <v>18911.496592589861</v>
      </c>
      <c r="F94" s="89">
        <f t="shared" si="44"/>
        <v>21407.003884720194</v>
      </c>
      <c r="G94" s="89">
        <f t="shared" si="44"/>
        <v>27159.137174083109</v>
      </c>
      <c r="H94" s="89">
        <f t="shared" si="44"/>
        <v>37380.317304042481</v>
      </c>
      <c r="I94" s="89">
        <f t="shared" si="44"/>
        <v>51942.797347870699</v>
      </c>
      <c r="J94" s="89">
        <f t="shared" si="44"/>
        <v>70080.49282317629</v>
      </c>
      <c r="K94" s="89">
        <f t="shared" si="44"/>
        <v>92421.730271724446</v>
      </c>
      <c r="L94" s="89">
        <f t="shared" si="44"/>
        <v>118816.79649527709</v>
      </c>
    </row>
    <row r="95" spans="1:12" ht="15" customHeight="1" x14ac:dyDescent="0.45">
      <c r="B95" s="52" t="s">
        <v>307</v>
      </c>
      <c r="D95" s="65">
        <f t="shared" ref="D95:L95" si="45">D36</f>
        <v>18857</v>
      </c>
      <c r="E95" s="65">
        <f t="shared" si="45"/>
        <v>23601.496592589861</v>
      </c>
      <c r="F95" s="65">
        <f t="shared" si="45"/>
        <v>28305.003884720194</v>
      </c>
      <c r="G95" s="65">
        <f t="shared" si="45"/>
        <v>35970.137174083109</v>
      </c>
      <c r="H95" s="65">
        <f t="shared" si="45"/>
        <v>47925.317304042481</v>
      </c>
      <c r="I95" s="65">
        <f t="shared" si="45"/>
        <v>64041.797347870699</v>
      </c>
      <c r="J95" s="65">
        <f t="shared" si="45"/>
        <v>83554.49282317629</v>
      </c>
      <c r="K95" s="65">
        <f t="shared" si="45"/>
        <v>107091.73027172445</v>
      </c>
      <c r="L95" s="65">
        <f t="shared" si="45"/>
        <v>134504.79649527709</v>
      </c>
    </row>
    <row r="96" spans="1:12" ht="15" customHeight="1" x14ac:dyDescent="0.45">
      <c r="B96" s="52" t="s">
        <v>308</v>
      </c>
      <c r="E96" s="65">
        <f>D36+0.5*(E20*(1-Assumptions!E56)+E78+E80)</f>
        <v>18194.648943062501</v>
      </c>
      <c r="F96" s="65">
        <f>E36+0.5*(F20*(1-Assumptions!F56)+F78+F80)</f>
        <v>23755.100810589862</v>
      </c>
      <c r="G96" s="65">
        <f>F36+0.5*(G20*(1-Assumptions!G56)+G78+G80)</f>
        <v>29708.329547520192</v>
      </c>
      <c r="H96" s="65">
        <f>G36+0.5*(H20*(1-Assumptions!H56)+H78+H80)</f>
        <v>38974.78014510811</v>
      </c>
      <c r="I96" s="65">
        <f>H36+0.5*(I20*(1-Assumptions!I56)+I78+I80)</f>
        <v>52409.683523974913</v>
      </c>
      <c r="J96" s="65">
        <f>I36+0.5*(J20*(1-Assumptions!J56)+J78+J80)</f>
        <v>69590.911039318496</v>
      </c>
      <c r="K96" s="65">
        <f>J36+0.5*(K20*(1-Assumptions!K56)+K78+K80)</f>
        <v>90386.409958832068</v>
      </c>
      <c r="L96" s="65">
        <f>K36+0.5*(L20*(1-Assumptions!L56)+L78+L80)</f>
        <v>115053.0610480685</v>
      </c>
    </row>
    <row r="97" spans="2:2" ht="73.5" customHeight="1" x14ac:dyDescent="0.45">
      <c r="B97" s="44" t="s">
        <v>309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2937"/>
    <pageSetUpPr fitToPage="1"/>
  </sheetPr>
  <dimension ref="A1:L46"/>
  <sheetViews>
    <sheetView showGridLines="0" zoomScaleNormal="100" workbookViewId="0">
      <pane xSplit="3" ySplit="5" topLeftCell="D9" activePane="bottomRight" state="frozen"/>
      <selection pane="topRight" activeCell="C1" sqref="C1"/>
      <selection pane="bottomLeft" activeCell="A46" sqref="A46"/>
      <selection pane="bottomRight" activeCell="B1" sqref="A1:XFD1"/>
    </sheetView>
  </sheetViews>
  <sheetFormatPr defaultColWidth="8.6640625" defaultRowHeight="14.25" x14ac:dyDescent="0.45"/>
  <cols>
    <col min="1" max="1" width="3.9296875" style="41" customWidth="1"/>
    <col min="2" max="2" width="56" style="41" customWidth="1"/>
    <col min="3" max="3" width="11" style="41" customWidth="1"/>
    <col min="4" max="12" width="13" style="41" customWidth="1"/>
    <col min="13" max="16384" width="8.6640625" style="41"/>
  </cols>
  <sheetData>
    <row r="1" spans="1:12" ht="15" customHeight="1" x14ac:dyDescent="0.45">
      <c r="B1" s="42"/>
    </row>
    <row r="2" spans="1:12" ht="19.5" customHeight="1" x14ac:dyDescent="0.45">
      <c r="B2" s="43" t="s">
        <v>435</v>
      </c>
    </row>
    <row r="3" spans="1:12" ht="15" customHeight="1" x14ac:dyDescent="0.45">
      <c r="B3" s="86" t="s">
        <v>436</v>
      </c>
    </row>
    <row r="5" spans="1:12" ht="15" customHeight="1" x14ac:dyDescent="0.45">
      <c r="A5" s="41" t="s">
        <v>471</v>
      </c>
      <c r="B5" s="45" t="s">
        <v>199</v>
      </c>
      <c r="C5" s="46" t="s">
        <v>48</v>
      </c>
      <c r="D5" s="46" t="s">
        <v>24</v>
      </c>
      <c r="E5" s="46" t="s">
        <v>25</v>
      </c>
      <c r="F5" s="46" t="s">
        <v>26</v>
      </c>
      <c r="G5" s="46" t="s">
        <v>27</v>
      </c>
      <c r="H5" s="46" t="s">
        <v>28</v>
      </c>
      <c r="I5" s="46" t="s">
        <v>49</v>
      </c>
      <c r="J5" s="46" t="s">
        <v>50</v>
      </c>
      <c r="K5" s="46" t="s">
        <v>51</v>
      </c>
      <c r="L5" s="46" t="s">
        <v>52</v>
      </c>
    </row>
    <row r="6" spans="1:12" ht="15" customHeight="1" x14ac:dyDescent="0.45">
      <c r="A6" s="41" t="s">
        <v>471</v>
      </c>
      <c r="B6" s="47" t="s">
        <v>437</v>
      </c>
    </row>
    <row r="7" spans="1:12" ht="15" customHeight="1" x14ac:dyDescent="0.45">
      <c r="B7" s="52" t="s">
        <v>438</v>
      </c>
      <c r="D7" s="88">
        <f>Model!D10/Model!D7</f>
        <v>0.73063171529717008</v>
      </c>
      <c r="E7" s="88">
        <f>Model!E10/Model!E7</f>
        <v>0.42398025783579441</v>
      </c>
      <c r="F7" s="88">
        <f>Model!F10/Model!F7</f>
        <v>0.32729237369031949</v>
      </c>
      <c r="G7" s="88">
        <f>Model!G10/Model!G7</f>
        <v>0.31336164014315554</v>
      </c>
      <c r="H7" s="88">
        <f>Model!H10/Model!H7</f>
        <v>0.3049247016743708</v>
      </c>
      <c r="I7" s="88">
        <f>Model!I10/Model!I7</f>
        <v>0.29977183524808843</v>
      </c>
      <c r="J7" s="88">
        <f>Model!J10/Model!J7</f>
        <v>0.2954278314998165</v>
      </c>
      <c r="K7" s="88">
        <f>Model!K10/Model!K7</f>
        <v>0.29263299598460124</v>
      </c>
      <c r="L7" s="88">
        <f>Model!L10/Model!L7</f>
        <v>0.29099637090109537</v>
      </c>
    </row>
    <row r="8" spans="1:12" ht="15" customHeight="1" x14ac:dyDescent="0.45">
      <c r="B8" s="52" t="s">
        <v>439</v>
      </c>
      <c r="D8" s="88">
        <f>Model!D20/RevBuild!D43</f>
        <v>1.2296311886076647E-2</v>
      </c>
      <c r="E8" s="88">
        <f>Model!E20/RevBuild!E43</f>
        <v>1.1910255868404851E-2</v>
      </c>
      <c r="F8" s="88">
        <f>Model!F20/RevBuild!F43</f>
        <v>2.8585351017509621E-2</v>
      </c>
      <c r="G8" s="88">
        <f>Model!G20/RevBuild!G43</f>
        <v>4.0586570382305454E-2</v>
      </c>
      <c r="H8" s="88">
        <f>Model!H20/RevBuild!H43</f>
        <v>4.9657539250413697E-2</v>
      </c>
      <c r="I8" s="88">
        <f>Model!I20/RevBuild!I43</f>
        <v>5.6975675111377883E-2</v>
      </c>
      <c r="J8" s="88">
        <f>Model!J20/RevBuild!J43</f>
        <v>6.0678650201781023E-2</v>
      </c>
      <c r="K8" s="88">
        <f>Model!K20/RevBuild!K43</f>
        <v>6.336390882706161E-2</v>
      </c>
      <c r="L8" s="88">
        <f>Model!L20/RevBuild!L43</f>
        <v>6.493787165593537E-2</v>
      </c>
    </row>
    <row r="9" spans="1:12" ht="15" customHeight="1" x14ac:dyDescent="0.45">
      <c r="B9" s="52" t="s">
        <v>440</v>
      </c>
      <c r="D9" s="88">
        <f>Model!D23/Model!D7</f>
        <v>3.1509307395975079E-2</v>
      </c>
      <c r="E9" s="88">
        <f>Model!E23/Model!E7</f>
        <v>2.4820381560627235E-2</v>
      </c>
      <c r="F9" s="88">
        <f>Model!F23/Model!F7</f>
        <v>4.8690019631709471E-2</v>
      </c>
      <c r="G9" s="88">
        <f>Model!G23/Model!G7</f>
        <v>6.5580635989192684E-2</v>
      </c>
      <c r="H9" s="88">
        <f>Model!H23/Model!H7</f>
        <v>7.733755335696918E-2</v>
      </c>
      <c r="I9" s="88">
        <f>Model!I23/Model!I7</f>
        <v>8.6453802869779925E-2</v>
      </c>
      <c r="J9" s="88">
        <f>Model!J23/Model!J7</f>
        <v>9.0892894210081718E-2</v>
      </c>
      <c r="K9" s="88">
        <f>Model!K23/Model!K7</f>
        <v>9.4246578253496582E-2</v>
      </c>
      <c r="L9" s="88">
        <f>Model!L23/Model!L7</f>
        <v>9.6246166471848305E-2</v>
      </c>
    </row>
    <row r="10" spans="1:12" ht="15" customHeight="1" x14ac:dyDescent="0.45">
      <c r="B10" s="52" t="s">
        <v>441</v>
      </c>
      <c r="D10" s="88">
        <f>Model!D26/Model!D7</f>
        <v>-1.1125389053813328E-2</v>
      </c>
      <c r="E10" s="88">
        <f>Model!E26/Model!E7</f>
        <v>-4.1756901487528331E-3</v>
      </c>
      <c r="F10" s="88">
        <f>Model!F26/Model!F7</f>
        <v>2.8663228669401176E-2</v>
      </c>
      <c r="G10" s="88">
        <f>Model!G26/Model!G7</f>
        <v>4.8010760948102242E-2</v>
      </c>
      <c r="H10" s="88">
        <f>Model!H26/Model!H7</f>
        <v>6.0997828238314115E-2</v>
      </c>
      <c r="I10" s="88">
        <f>Model!I26/Model!I7</f>
        <v>7.0856497385333617E-2</v>
      </c>
      <c r="J10" s="88">
        <f>Model!J26/Model!J7</f>
        <v>7.5689526226682208E-2</v>
      </c>
      <c r="K10" s="88">
        <f>Model!K26/Model!K7</f>
        <v>7.9194361283546399E-2</v>
      </c>
      <c r="L10" s="88">
        <f>Model!L26/Model!L7</f>
        <v>8.1211180176852554E-2</v>
      </c>
    </row>
    <row r="11" spans="1:12" ht="15" customHeight="1" x14ac:dyDescent="0.45">
      <c r="B11" s="52" t="s">
        <v>442</v>
      </c>
      <c r="D11" s="88">
        <f>Model!D31/Model!D7</f>
        <v>2.6061951606840824E-2</v>
      </c>
      <c r="E11" s="88">
        <f>Model!E31/Model!E7</f>
        <v>7.0046220868428934E-3</v>
      </c>
      <c r="F11" s="88">
        <f>Model!F31/Model!F7</f>
        <v>2.6784074893611887E-2</v>
      </c>
      <c r="G11" s="88">
        <f>Model!G31/Model!G7</f>
        <v>4.3340920188553782E-2</v>
      </c>
      <c r="H11" s="88">
        <f>Model!H31/Model!H7</f>
        <v>5.6292123369468212E-2</v>
      </c>
      <c r="I11" s="88">
        <f>Model!I31/Model!I7</f>
        <v>6.3805551264564067E-2</v>
      </c>
      <c r="J11" s="88">
        <f>Model!J31/Model!J7</f>
        <v>6.6466670386076052E-2</v>
      </c>
      <c r="K11" s="88">
        <f>Model!K31/Model!K7</f>
        <v>7.1020989197632375E-2</v>
      </c>
      <c r="L11" s="88">
        <f>Model!L31/Model!L7</f>
        <v>7.4760756431506106E-2</v>
      </c>
    </row>
    <row r="12" spans="1:12" ht="15" customHeight="1" x14ac:dyDescent="0.45">
      <c r="B12" s="52" t="s">
        <v>443</v>
      </c>
      <c r="E12" s="88">
        <f>Model!E31/((Model!E54+Model!D54)/2)</f>
        <v>1.2387607745477881E-2</v>
      </c>
      <c r="F12" s="88">
        <f>Model!F31/((Model!F54+Model!E54)/2)</f>
        <v>7.7092436537400361E-2</v>
      </c>
      <c r="G12" s="88">
        <f>Model!G31/((Model!G54+Model!F54)/2)</f>
        <v>0.15252823030683543</v>
      </c>
      <c r="H12" s="88">
        <f>Model!H31/((Model!H54+Model!G54)/2)</f>
        <v>0.21198053987043075</v>
      </c>
      <c r="I12" s="88">
        <f>Model!I31/((Model!I54+Model!H54)/2)</f>
        <v>0.2346156783250534</v>
      </c>
      <c r="J12" s="88">
        <f>Model!J31/((Model!J54+Model!I54)/2)</f>
        <v>0.22749789059198092</v>
      </c>
      <c r="K12" s="88">
        <f>Model!K31/((Model!K54+Model!J54)/2)</f>
        <v>0.22100374839625764</v>
      </c>
      <c r="L12" s="88">
        <f>Model!L31/((Model!L54+Model!K54)/2)</f>
        <v>0.2085198175379547</v>
      </c>
    </row>
    <row r="13" spans="1:12" ht="15" customHeight="1" x14ac:dyDescent="0.45">
      <c r="B13" s="52" t="s">
        <v>444</v>
      </c>
      <c r="E13" s="88">
        <f>Model!E26/((Model!E54+Model!E50+Model!D54+Model!D50)/2)</f>
        <v>-6.6592551957580853E-3</v>
      </c>
      <c r="F13" s="88">
        <f>Model!F26/((Model!F54+Model!F50+Model!E54+Model!E50)/2)</f>
        <v>7.0249022498442379E-2</v>
      </c>
      <c r="G13" s="88">
        <f>Model!G26/((Model!G54+Model!G50+Model!F54+Model!F50)/2)</f>
        <v>0.14021350359062776</v>
      </c>
      <c r="H13" s="88">
        <f>Model!H26/((Model!H54+Model!H50+Model!G54+Model!G50)/2)</f>
        <v>0.1905908579601456</v>
      </c>
      <c r="I13" s="88">
        <f>Model!I26/((Model!I54+Model!I50+Model!H54+Model!H50)/2)</f>
        <v>0.21930374960505408</v>
      </c>
      <c r="J13" s="88">
        <f>Model!J26/((Model!J54+Model!J50+Model!I54+Model!I50)/2)</f>
        <v>0.22220252330011148</v>
      </c>
      <c r="K13" s="88">
        <f>Model!K26/((Model!K54+Model!K50+Model!J54+Model!J50)/2)</f>
        <v>0.21541861699642006</v>
      </c>
      <c r="L13" s="88">
        <f>Model!L26/((Model!L54+Model!L50+Model!K54+Model!K50)/2)</f>
        <v>0.20152457886779332</v>
      </c>
    </row>
    <row r="14" spans="1:12" ht="15" customHeight="1" x14ac:dyDescent="0.45">
      <c r="B14" s="52" t="s">
        <v>445</v>
      </c>
      <c r="D14" s="88">
        <f>Model!D26*(1-Assumptions!D56)/(Model!D54+Model!D50-Model!D36)</f>
        <v>-1.260636956403554E-2</v>
      </c>
      <c r="E14" s="88">
        <f>Model!E26*(1-Assumptions!E56)/(Model!E54+Model!E50-Model!E36)</f>
        <v>-9.0600743902172765E-3</v>
      </c>
      <c r="F14" s="88">
        <f>Model!F26*(1-Assumptions!F56)/(Model!F54+Model!F50-Model!F36)</f>
        <v>0.13780663889116657</v>
      </c>
      <c r="G14" s="88">
        <f>Model!G26*(1-Assumptions!G56)/(Model!G54+Model!G50-Model!G36)</f>
        <v>0.33867014685537289</v>
      </c>
      <c r="H14" s="88">
        <f>Model!H26*(1-Assumptions!H56)/(Model!H54+Model!H50-Model!H36)</f>
        <v>0.56788750889725437</v>
      </c>
      <c r="I14" s="88">
        <f>Model!I26*(1-Assumptions!I56)/(Model!I54+Model!I50-Model!I36)</f>
        <v>0.77272357491092702</v>
      </c>
      <c r="J14" s="88">
        <f>Model!J26*(1-Assumptions!J56)/(Model!J54+Model!J50-Model!J36)</f>
        <v>0.91713980249459248</v>
      </c>
      <c r="K14" s="88">
        <f>Model!K26*(1-Assumptions!K56)/(Model!K54+Model!K50-Model!K36)</f>
        <v>1.0818506305822297</v>
      </c>
      <c r="L14" s="88">
        <f>Model!L26*(1-Assumptions!L56)/(Model!L54+Model!L50-Model!L36)</f>
        <v>1.224166466942155</v>
      </c>
    </row>
    <row r="15" spans="1:12" ht="15" customHeight="1" x14ac:dyDescent="0.45">
      <c r="B15" s="52" t="s">
        <v>446</v>
      </c>
      <c r="D15" s="88">
        <f>Model!D42/(Model!D54+Model!D50-Model!D36)</f>
        <v>0.42947056645686782</v>
      </c>
      <c r="E15" s="88">
        <f>Model!E42/(Model!E54+Model!E50-Model!E36)</f>
        <v>0.46037418965733362</v>
      </c>
      <c r="F15" s="88">
        <f>Model!F42/(Model!F54+Model!F50-Model!F36)</f>
        <v>0.42886761602274176</v>
      </c>
      <c r="G15" s="88">
        <f>Model!G42/(Model!G54+Model!G50-Model!G36)</f>
        <v>0.39931633832699281</v>
      </c>
      <c r="H15" s="88">
        <f>Model!H42/(Model!H54+Model!H50-Model!H36)</f>
        <v>0.38004796876741609</v>
      </c>
      <c r="I15" s="88">
        <f>Model!I42/(Model!I54+Model!I50-Model!I36)</f>
        <v>0.36628025670531417</v>
      </c>
      <c r="J15" s="88">
        <f>Model!J42/(Model!J54+Model!J50-Model!J36)</f>
        <v>0.35601300848274781</v>
      </c>
      <c r="K15" s="88">
        <f>Model!K42/(Model!K54+Model!K50-Model!K36)</f>
        <v>0.34817898245133677</v>
      </c>
      <c r="L15" s="88">
        <f>Model!L42/(Model!L54+Model!L50-Model!L36)</f>
        <v>0.34216666977478932</v>
      </c>
    </row>
    <row r="16" spans="1:12" ht="15" customHeight="1" x14ac:dyDescent="0.45">
      <c r="A16" s="41" t="s">
        <v>471</v>
      </c>
      <c r="B16" s="47" t="s">
        <v>447</v>
      </c>
    </row>
    <row r="17" spans="1:12" ht="15" customHeight="1" x14ac:dyDescent="0.45">
      <c r="B17" s="52" t="s">
        <v>448</v>
      </c>
      <c r="E17" s="88">
        <f>Model!E31/Model!E7</f>
        <v>7.0046220868428934E-3</v>
      </c>
      <c r="F17" s="88">
        <f>Model!F31/Model!F7</f>
        <v>2.6784074893611887E-2</v>
      </c>
      <c r="G17" s="88">
        <f>Model!G31/Model!G7</f>
        <v>4.3340920188553782E-2</v>
      </c>
      <c r="H17" s="88">
        <f>Model!H31/Model!H7</f>
        <v>5.6292123369468212E-2</v>
      </c>
      <c r="I17" s="88">
        <f>Model!I31/Model!I7</f>
        <v>6.3805551264564067E-2</v>
      </c>
      <c r="J17" s="88">
        <f>Model!J31/Model!J7</f>
        <v>6.6466670386076052E-2</v>
      </c>
      <c r="K17" s="88">
        <f>Model!K31/Model!K7</f>
        <v>7.1020989197632375E-2</v>
      </c>
      <c r="L17" s="88">
        <f>Model!L31/Model!L7</f>
        <v>7.4760756431506106E-2</v>
      </c>
    </row>
    <row r="18" spans="1:12" ht="15" customHeight="1" x14ac:dyDescent="0.45">
      <c r="B18" s="52" t="s">
        <v>449</v>
      </c>
      <c r="E18" s="63">
        <f>Model!E7/((Model!E45+Model!D45)/2)</f>
        <v>1.3904236180454597</v>
      </c>
      <c r="F18" s="63">
        <f>Model!F7/((Model!F45+Model!E45)/2)</f>
        <v>1.9669628982689635</v>
      </c>
      <c r="G18" s="63">
        <f>Model!G7/((Model!G45+Model!F45)/2)</f>
        <v>2.20736510659713</v>
      </c>
      <c r="H18" s="63">
        <f>Model!H7/((Model!H45+Model!G45)/2)</f>
        <v>2.304941506556522</v>
      </c>
      <c r="I18" s="63">
        <f>Model!I7/((Model!I45+Model!H45)/2)</f>
        <v>2.274420412958249</v>
      </c>
      <c r="J18" s="63">
        <f>Model!J7/((Model!J45+Model!I45)/2)</f>
        <v>2.1756765003048724</v>
      </c>
      <c r="K18" s="63">
        <f>Model!K7/((Model!K45+Model!J45)/2)</f>
        <v>2.0471018164473089</v>
      </c>
      <c r="L18" s="63">
        <f>Model!L7/((Model!L45+Model!K45)/2)</f>
        <v>1.9034808899934559</v>
      </c>
    </row>
    <row r="19" spans="1:12" ht="15" customHeight="1" x14ac:dyDescent="0.45">
      <c r="B19" s="52" t="s">
        <v>450</v>
      </c>
      <c r="E19" s="63">
        <f>((Model!E45+Model!D45)/2)/((Model!E54+Model!D54)/2)</f>
        <v>1.2719077088712842</v>
      </c>
      <c r="F19" s="63">
        <f>((Model!F45+Model!E45)/2)/((Model!F54+Model!E54)/2)</f>
        <v>1.4633188029499296</v>
      </c>
      <c r="G19" s="63">
        <f>((Model!G45+Model!F45)/2)/((Model!G54+Model!F54)/2)</f>
        <v>1.594328944379005</v>
      </c>
      <c r="H19" s="63">
        <f>((Model!H45+Model!G45)/2)/((Model!H54+Model!G54)/2)</f>
        <v>1.6337607359724629</v>
      </c>
      <c r="I19" s="63">
        <f>((Model!I45+Model!H45)/2)/((Model!I54+Model!H54)/2)</f>
        <v>1.6166939794183599</v>
      </c>
      <c r="J19" s="63">
        <f>((Model!J45+Model!I45)/2)/((Model!J54+Model!I54)/2)</f>
        <v>1.5731825832438251</v>
      </c>
      <c r="K19" s="63">
        <f>((Model!K45+Model!J45)/2)/((Model!K54+Model!J54)/2)</f>
        <v>1.5201046205463262</v>
      </c>
      <c r="L19" s="63">
        <f>((Model!L45+Model!K45)/2)/((Model!L54+Model!K54)/2)</f>
        <v>1.4652952043019221</v>
      </c>
    </row>
    <row r="20" spans="1:12" ht="15" customHeight="1" x14ac:dyDescent="0.45">
      <c r="B20" s="48" t="s">
        <v>451</v>
      </c>
      <c r="E20" s="111">
        <f t="shared" ref="E20:L20" si="0">E17*E18*E19</f>
        <v>1.2387607745477881E-2</v>
      </c>
      <c r="F20" s="111">
        <f t="shared" si="0"/>
        <v>7.7092436537400361E-2</v>
      </c>
      <c r="G20" s="111">
        <f t="shared" si="0"/>
        <v>0.15252823030683543</v>
      </c>
      <c r="H20" s="111">
        <f t="shared" si="0"/>
        <v>0.21198053987043072</v>
      </c>
      <c r="I20" s="111">
        <f t="shared" si="0"/>
        <v>0.23461567832505337</v>
      </c>
      <c r="J20" s="111">
        <f t="shared" si="0"/>
        <v>0.22749789059198089</v>
      </c>
      <c r="K20" s="111">
        <f t="shared" si="0"/>
        <v>0.22100374839625764</v>
      </c>
      <c r="L20" s="111">
        <f t="shared" si="0"/>
        <v>0.20851981753795473</v>
      </c>
    </row>
    <row r="21" spans="1:12" ht="15" customHeight="1" x14ac:dyDescent="0.45">
      <c r="B21" s="48" t="s">
        <v>452</v>
      </c>
      <c r="E21" s="64">
        <f t="shared" ref="E21:L21" si="1">E20-E12</f>
        <v>0</v>
      </c>
      <c r="F21" s="64">
        <f t="shared" si="1"/>
        <v>0</v>
      </c>
      <c r="G21" s="64">
        <f t="shared" si="1"/>
        <v>0</v>
      </c>
      <c r="H21" s="64">
        <f t="shared" si="1"/>
        <v>0</v>
      </c>
      <c r="I21" s="64">
        <f t="shared" si="1"/>
        <v>0</v>
      </c>
      <c r="J21" s="64">
        <f t="shared" si="1"/>
        <v>0</v>
      </c>
      <c r="K21" s="64">
        <f t="shared" si="1"/>
        <v>0</v>
      </c>
      <c r="L21" s="64">
        <f t="shared" si="1"/>
        <v>0</v>
      </c>
    </row>
    <row r="23" spans="1:12" ht="15" customHeight="1" x14ac:dyDescent="0.45">
      <c r="A23" s="41" t="s">
        <v>471</v>
      </c>
      <c r="B23" s="47" t="s">
        <v>453</v>
      </c>
    </row>
    <row r="24" spans="1:12" ht="15" customHeight="1" x14ac:dyDescent="0.45">
      <c r="B24" s="52" t="s">
        <v>454</v>
      </c>
      <c r="D24" s="55">
        <f>Model!D94</f>
        <v>16812</v>
      </c>
      <c r="E24" s="55">
        <f>Model!E94</f>
        <v>18911.496592589861</v>
      </c>
      <c r="F24" s="55">
        <f>Model!F94</f>
        <v>21407.003884720194</v>
      </c>
      <c r="G24" s="55">
        <f>Model!G94</f>
        <v>27159.137174083109</v>
      </c>
      <c r="H24" s="55">
        <f>Model!H94</f>
        <v>37380.317304042481</v>
      </c>
      <c r="I24" s="55">
        <f>Model!I94</f>
        <v>51942.797347870699</v>
      </c>
      <c r="J24" s="55">
        <f>Model!J94</f>
        <v>70080.49282317629</v>
      </c>
      <c r="K24" s="55">
        <f>Model!K94</f>
        <v>92421.730271724446</v>
      </c>
      <c r="L24" s="55">
        <f>Model!L94</f>
        <v>118816.79649527709</v>
      </c>
    </row>
    <row r="25" spans="1:12" ht="15" customHeight="1" x14ac:dyDescent="0.45">
      <c r="B25" s="52" t="s">
        <v>12</v>
      </c>
      <c r="D25" s="88">
        <f>Model!D94/Assumptions!$D$8</f>
        <v>7.172989476840444E-2</v>
      </c>
      <c r="E25" s="88">
        <f>Model!E94/Assumptions!$D$8</f>
        <v>8.0687583898376755E-2</v>
      </c>
      <c r="F25" s="88">
        <f>Model!F94/Assumptions!$D$8</f>
        <v>9.1334887934677894E-2</v>
      </c>
      <c r="G25" s="88">
        <f>Model!G94/Assumptions!$D$8</f>
        <v>0.11587687672481814</v>
      </c>
      <c r="H25" s="88">
        <f>Model!H94/Assumptions!$D$8</f>
        <v>0.15948645173855192</v>
      </c>
      <c r="I25" s="88">
        <f>Model!I94/Assumptions!$D$8</f>
        <v>0.22161856933971702</v>
      </c>
      <c r="J25" s="88">
        <f>Model!J94/Assumptions!$D$8</f>
        <v>0.29900466187986902</v>
      </c>
      <c r="K25" s="88">
        <f>Model!K94/Assumptions!$D$8</f>
        <v>0.39432554048921331</v>
      </c>
      <c r="L25" s="88">
        <f>Model!L94/Assumptions!$D$8</f>
        <v>0.5069424404785362</v>
      </c>
    </row>
    <row r="26" spans="1:12" ht="15" customHeight="1" x14ac:dyDescent="0.45">
      <c r="B26" s="52" t="s">
        <v>455</v>
      </c>
      <c r="D26" s="88">
        <f>Model!D50/Model!D54</f>
        <v>6.745390375037108E-2</v>
      </c>
      <c r="E26" s="88">
        <f>Model!E50/Model!E54</f>
        <v>0.14884190226469318</v>
      </c>
      <c r="F26" s="88">
        <f>Model!F50/Model!F54</f>
        <v>0.19747507455908769</v>
      </c>
      <c r="G26" s="88">
        <f>Model!G50/Model!G54</f>
        <v>0.21137625852796013</v>
      </c>
      <c r="H26" s="88">
        <f>Model!H50/Model!H54</f>
        <v>0.20031705481092582</v>
      </c>
      <c r="I26" s="88">
        <f>Model!I50/Model!I54</f>
        <v>0.17851012869782118</v>
      </c>
      <c r="J26" s="88">
        <f>Model!J50/Model!J54</f>
        <v>0.15599957107984949</v>
      </c>
      <c r="K26" s="88">
        <f>Model!K50/Model!K54</f>
        <v>0.13448865919813099</v>
      </c>
      <c r="L26" s="88">
        <f>Model!L50/Model!L54</f>
        <v>0.11555039637592505</v>
      </c>
    </row>
    <row r="27" spans="1:12" ht="15" customHeight="1" x14ac:dyDescent="0.45">
      <c r="B27" s="52" t="s">
        <v>456</v>
      </c>
      <c r="D27" s="112">
        <f>-Model!D94/Model!D20</f>
        <v>-21.949231095360421</v>
      </c>
      <c r="E27" s="112">
        <f>-Model!E94/Model!E20</f>
        <v>-16.409032504210636</v>
      </c>
      <c r="F27" s="112">
        <f>-Model!F94/Model!F20</f>
        <v>-5.3718211694332867</v>
      </c>
      <c r="G27" s="112">
        <f>-Model!G94/Model!G20</f>
        <v>-3.5477092064086047</v>
      </c>
      <c r="H27" s="112">
        <f>-Model!H94/Model!H20</f>
        <v>-3.1108024646965129</v>
      </c>
      <c r="I27" s="112">
        <f>-Model!I94/Model!I20</f>
        <v>-3.0740680202989017</v>
      </c>
      <c r="J27" s="112">
        <f>-Model!J94/Model!J20</f>
        <v>-3.3011878028120831</v>
      </c>
      <c r="K27" s="112">
        <f>-Model!K94/Model!K20</f>
        <v>-3.6362455178904054</v>
      </c>
      <c r="L27" s="112">
        <f>-Model!L94/Model!L20</f>
        <v>-4.0754931276087687</v>
      </c>
    </row>
    <row r="28" spans="1:12" ht="15" customHeight="1" x14ac:dyDescent="0.45">
      <c r="B28" s="52" t="s">
        <v>457</v>
      </c>
      <c r="D28" s="112">
        <f>-Model!D26/Model!D29</f>
        <v>-1.4623189459415582</v>
      </c>
      <c r="E28" s="112">
        <f>-Model!E26/Model!E29</f>
        <v>-0.61628059874468544</v>
      </c>
      <c r="F28" s="112">
        <f>-Model!F26/Model!F29</f>
        <v>4.3002607629623109</v>
      </c>
      <c r="G28" s="112">
        <f>-Model!G26/Model!G29</f>
        <v>7.4914003704185514</v>
      </c>
      <c r="H28" s="112">
        <f>-Model!H26/Model!H29</f>
        <v>10.176152438907184</v>
      </c>
      <c r="I28" s="112">
        <f>-Model!I26/Model!I29</f>
        <v>12.595871097765221</v>
      </c>
      <c r="J28" s="112">
        <f>-Model!J26/Model!J29</f>
        <v>14.19637800399429</v>
      </c>
      <c r="K28" s="112">
        <f>-Model!K26/Model!K29</f>
        <v>15.558527347002151</v>
      </c>
      <c r="L28" s="112">
        <f>-Model!L26/Model!L29</f>
        <v>16.608070440717597</v>
      </c>
    </row>
    <row r="30" spans="1:12" ht="15" customHeight="1" x14ac:dyDescent="0.45">
      <c r="A30" s="41" t="s">
        <v>471</v>
      </c>
      <c r="B30" s="47" t="s">
        <v>458</v>
      </c>
    </row>
    <row r="31" spans="1:12" ht="15" customHeight="1" x14ac:dyDescent="0.45">
      <c r="B31" s="52" t="s">
        <v>459</v>
      </c>
      <c r="D31" s="91">
        <f>Model!D37/-Model!D9*365</f>
        <v>44.516440225365336</v>
      </c>
      <c r="E31" s="91">
        <f>Model!E37/-Model!E9*365</f>
        <v>13.999999999999998</v>
      </c>
      <c r="F31" s="91">
        <f>Model!F37/-Model!F9*365</f>
        <v>14</v>
      </c>
      <c r="G31" s="91">
        <f>Model!G37/-Model!G9*365</f>
        <v>14</v>
      </c>
      <c r="H31" s="91">
        <f>Model!H37/-Model!H9*365</f>
        <v>14</v>
      </c>
      <c r="I31" s="91">
        <f>Model!I37/-Model!I9*365</f>
        <v>14</v>
      </c>
      <c r="J31" s="91">
        <f>Model!J37/-Model!J9*365</f>
        <v>13.999999999999998</v>
      </c>
      <c r="K31" s="91">
        <f>Model!K37/-Model!K9*365</f>
        <v>14</v>
      </c>
      <c r="L31" s="91">
        <f>Model!L37/-Model!L9*365</f>
        <v>14</v>
      </c>
    </row>
    <row r="32" spans="1:12" ht="15" customHeight="1" x14ac:dyDescent="0.45">
      <c r="B32" s="52" t="s">
        <v>460</v>
      </c>
      <c r="D32" s="91">
        <f>Model!D48/-Model!D9*365</f>
        <v>104.69731204882915</v>
      </c>
      <c r="E32" s="91">
        <f>Model!E48/-Model!E9*365</f>
        <v>30</v>
      </c>
      <c r="F32" s="91">
        <f>Model!F48/-Model!F9*365</f>
        <v>30.000000000000004</v>
      </c>
      <c r="G32" s="91">
        <f>Model!G48/-Model!G9*365</f>
        <v>30.000000000000004</v>
      </c>
      <c r="H32" s="91">
        <f>Model!H48/-Model!H9*365</f>
        <v>30.000000000000004</v>
      </c>
      <c r="I32" s="91">
        <f>Model!I48/-Model!I9*365</f>
        <v>30</v>
      </c>
      <c r="J32" s="91">
        <f>Model!J48/-Model!J9*365</f>
        <v>30</v>
      </c>
      <c r="K32" s="91">
        <f>Model!K48/-Model!K9*365</f>
        <v>30.000000000000004</v>
      </c>
      <c r="L32" s="91">
        <f>Model!L48/-Model!L9*365</f>
        <v>30</v>
      </c>
    </row>
    <row r="33" spans="1:12" ht="15" customHeight="1" x14ac:dyDescent="0.45">
      <c r="B33" s="52" t="s">
        <v>461</v>
      </c>
      <c r="D33" s="91">
        <f>Model!D38/Model!D7*365</f>
        <v>35.000220417496344</v>
      </c>
      <c r="E33" s="91">
        <f>Model!E38/Model!E7*365</f>
        <v>8</v>
      </c>
      <c r="F33" s="91">
        <f>Model!F38/Model!F7*365</f>
        <v>8</v>
      </c>
      <c r="G33" s="91">
        <f>Model!G38/Model!G7*365</f>
        <v>8</v>
      </c>
      <c r="H33" s="91">
        <f>Model!H38/Model!H7*365</f>
        <v>8</v>
      </c>
      <c r="I33" s="91">
        <f>Model!I38/Model!I7*365</f>
        <v>7.9999999999999991</v>
      </c>
      <c r="J33" s="91">
        <f>Model!J38/Model!J7*365</f>
        <v>8</v>
      </c>
      <c r="K33" s="91">
        <f>Model!K38/Model!K7*365</f>
        <v>8</v>
      </c>
      <c r="L33" s="91">
        <f>Model!L38/Model!L7*365</f>
        <v>8</v>
      </c>
    </row>
    <row r="34" spans="1:12" ht="15" customHeight="1" x14ac:dyDescent="0.45">
      <c r="B34" s="52" t="s">
        <v>462</v>
      </c>
      <c r="D34" s="91">
        <f>Model!D37/-Model!D9*365+Model!D38/Model!D7*365-Model!D48/-Model!D9*365</f>
        <v>-25.180651405967467</v>
      </c>
      <c r="E34" s="91">
        <f>Model!E37/-Model!E9*365+Model!E38/Model!E7*365-Model!E48/-Model!E9*365</f>
        <v>-8</v>
      </c>
      <c r="F34" s="91">
        <f>Model!F37/-Model!F9*365+Model!F38/Model!F7*365-Model!F48/-Model!F9*365</f>
        <v>-8.0000000000000036</v>
      </c>
      <c r="G34" s="91">
        <f>Model!G37/-Model!G9*365+Model!G38/Model!G7*365-Model!G48/-Model!G9*365</f>
        <v>-8.0000000000000036</v>
      </c>
      <c r="H34" s="91">
        <f>Model!H37/-Model!H9*365+Model!H38/Model!H7*365-Model!H48/-Model!H9*365</f>
        <v>-8.0000000000000036</v>
      </c>
      <c r="I34" s="91">
        <f>Model!I37/-Model!I9*365+Model!I38/Model!I7*365-Model!I48/-Model!I9*365</f>
        <v>-8</v>
      </c>
      <c r="J34" s="91">
        <f>Model!J37/-Model!J9*365+Model!J38/Model!J7*365-Model!J48/-Model!J9*365</f>
        <v>-8</v>
      </c>
      <c r="K34" s="91">
        <f>Model!K37/-Model!K9*365+Model!K38/Model!K7*365-Model!K48/-Model!K9*365</f>
        <v>-8.0000000000000036</v>
      </c>
      <c r="L34" s="91">
        <f>Model!L37/-Model!L9*365+Model!L38/Model!L7*365-Model!L48/-Model!L9*365</f>
        <v>-8</v>
      </c>
    </row>
    <row r="35" spans="1:12" ht="15" customHeight="1" x14ac:dyDescent="0.45">
      <c r="B35" s="52" t="s">
        <v>463</v>
      </c>
      <c r="E35" s="88">
        <f>-Model!E78/RevBuild!E43</f>
        <v>1.2989614365172306E-2</v>
      </c>
      <c r="F35" s="88">
        <f>-Model!F78/RevBuild!F43</f>
        <v>1.082691289658487E-2</v>
      </c>
      <c r="G35" s="88">
        <f>-Model!G78/RevBuild!G43</f>
        <v>9.4351464886344733E-3</v>
      </c>
      <c r="H35" s="88">
        <f>-Model!H78/RevBuild!H43</f>
        <v>8.2209372433597206E-3</v>
      </c>
      <c r="I35" s="88">
        <f>-Model!I78/RevBuild!I43</f>
        <v>7.4290744233186101E-3</v>
      </c>
      <c r="J35" s="88">
        <f>-Model!J78/RevBuild!J43</f>
        <v>6.815784814433048E-3</v>
      </c>
      <c r="K35" s="88">
        <f>-Model!K78/RevBuild!K43</f>
        <v>6.355831477872876E-3</v>
      </c>
      <c r="L35" s="88">
        <f>-Model!L78/RevBuild!L43</f>
        <v>5.9978450540621306E-3</v>
      </c>
    </row>
    <row r="36" spans="1:12" ht="15" customHeight="1" x14ac:dyDescent="0.45">
      <c r="B36" s="52" t="s">
        <v>464</v>
      </c>
      <c r="D36" s="63">
        <f>RevBuild!D11</f>
        <v>6.71</v>
      </c>
      <c r="E36" s="63">
        <f>RevBuild!E11</f>
        <v>7.39</v>
      </c>
      <c r="F36" s="63">
        <f>RevBuild!F11</f>
        <v>7.9</v>
      </c>
      <c r="G36" s="63">
        <f>RevBuild!G11</f>
        <v>8.5</v>
      </c>
      <c r="H36" s="63">
        <f>RevBuild!H11</f>
        <v>9.15</v>
      </c>
      <c r="I36" s="63">
        <f>RevBuild!I11</f>
        <v>9.8000000000000007</v>
      </c>
      <c r="J36" s="63">
        <f>RevBuild!J11</f>
        <v>10.4</v>
      </c>
      <c r="K36" s="63">
        <f>RevBuild!K11</f>
        <v>10.95</v>
      </c>
      <c r="L36" s="63">
        <f>RevBuild!L11</f>
        <v>11.45</v>
      </c>
    </row>
    <row r="38" spans="1:12" ht="15" customHeight="1" x14ac:dyDescent="0.45">
      <c r="A38" s="41" t="s">
        <v>471</v>
      </c>
      <c r="B38" s="47" t="s">
        <v>465</v>
      </c>
    </row>
    <row r="39" spans="1:12" ht="15" customHeight="1" x14ac:dyDescent="0.45">
      <c r="B39" s="52" t="s">
        <v>466</v>
      </c>
      <c r="D39" s="112">
        <f>Assumptions!$D$6/Model!D33</f>
        <v>404.3544258835816</v>
      </c>
      <c r="E39" s="112">
        <f>Assumptions!$D$6/Model!E33</f>
        <v>612.04585067284461</v>
      </c>
      <c r="F39" s="112">
        <f>Assumptions!$D$6/Model!F33</f>
        <v>91.51697948585192</v>
      </c>
      <c r="G39" s="112">
        <f>Assumptions!$D$6/Model!G33</f>
        <v>40.113024791363699</v>
      </c>
      <c r="H39" s="112">
        <f>Assumptions!$D$6/Model!H33</f>
        <v>23.443584873215283</v>
      </c>
      <c r="I39" s="112">
        <f>Assumptions!$D$6/Model!I33</f>
        <v>16.591909087548498</v>
      </c>
      <c r="J39" s="112">
        <f>Assumptions!$D$6/Model!J33</f>
        <v>13.366851647839347</v>
      </c>
      <c r="K39" s="112">
        <f>Assumptions!$D$6/Model!K33</f>
        <v>10.851998673343596</v>
      </c>
      <c r="L39" s="112">
        <f>Assumptions!$D$6/Model!L33</f>
        <v>9.1813448173333132</v>
      </c>
    </row>
    <row r="40" spans="1:12" ht="15" customHeight="1" x14ac:dyDescent="0.45">
      <c r="B40" s="52" t="s">
        <v>383</v>
      </c>
      <c r="D40" s="112">
        <f>(Assumptions!$D$8-Model!D94)/Model!D20</f>
        <v>284.04914191533874</v>
      </c>
      <c r="E40" s="112">
        <f>(Assumptions!$D$8-Model!E94)/Model!E20</f>
        <v>186.95599234121354</v>
      </c>
      <c r="F40" s="112">
        <f>(Assumptions!$D$8-Model!F94)/Model!F20</f>
        <v>53.442737986485071</v>
      </c>
      <c r="G40" s="112">
        <f>(Assumptions!$D$8-Model!G94)/Model!G20</f>
        <v>27.068487110597992</v>
      </c>
      <c r="H40" s="112">
        <f>(Assumptions!$D$8-Model!H94)/Model!H20</f>
        <v>16.394318069278931</v>
      </c>
      <c r="I40" s="112">
        <f>(Assumptions!$D$8-Model!I94)/Model!I20</f>
        <v>10.796917743473861</v>
      </c>
      <c r="J40" s="112">
        <f>(Assumptions!$D$8-Model!J94)/Model!J20</f>
        <v>7.739401939358558</v>
      </c>
      <c r="K40" s="112">
        <f>(Assumptions!$D$8-Model!K94)/Model!K20</f>
        <v>5.5851848601144249</v>
      </c>
      <c r="L40" s="112">
        <f>(Assumptions!$D$8-Model!L94)/Model!L20</f>
        <v>3.9638675614699421</v>
      </c>
    </row>
    <row r="41" spans="1:12" ht="15" customHeight="1" x14ac:dyDescent="0.45">
      <c r="B41" s="52" t="s">
        <v>386</v>
      </c>
      <c r="D41" s="112">
        <f>(Assumptions!$D$8-Model!D94)/Model!D7</f>
        <v>10.748452250473619</v>
      </c>
      <c r="E41" s="112">
        <f>(Assumptions!$D$8-Model!E94)/Model!E7</f>
        <v>3.9412301178508531</v>
      </c>
      <c r="F41" s="112">
        <f>(Assumptions!$D$8-Model!F94)/Model!F7</f>
        <v>2.2273177715081922</v>
      </c>
      <c r="G41" s="112">
        <f>(Assumptions!$D$8-Model!G94)/Model!G7</f>
        <v>1.5370793530807194</v>
      </c>
      <c r="H41" s="112">
        <f>(Assumptions!$D$8-Model!H94)/Model!H7</f>
        <v>1.1092166284806162</v>
      </c>
      <c r="I41" s="112">
        <f>(Assumptions!$D$8-Model!I94)/Model!I7</f>
        <v>0.82403809858225896</v>
      </c>
      <c r="J41" s="112">
        <f>(Assumptions!$D$8-Model!J94)/Model!J7</f>
        <v>0.62279939407839624</v>
      </c>
      <c r="K41" s="112">
        <f>(Assumptions!$D$8-Model!K94)/Model!K7</f>
        <v>0.46680522595281404</v>
      </c>
      <c r="L41" s="112">
        <f>(Assumptions!$D$8-Model!L94)/Model!L7</f>
        <v>0.33843682091804189</v>
      </c>
    </row>
    <row r="42" spans="1:12" ht="15" customHeight="1" x14ac:dyDescent="0.45">
      <c r="B42" s="52" t="s">
        <v>467</v>
      </c>
      <c r="D42" s="112">
        <f>(Assumptions!$D$8-Model!D94)/RevBuild!D43</f>
        <v>3.4927568399634521</v>
      </c>
      <c r="E42" s="112">
        <f>(Assumptions!$D$8-Model!E94)/RevBuild!E43</f>
        <v>2.226693704915391</v>
      </c>
      <c r="F42" s="112">
        <f>(Assumptions!$D$8-Model!F94)/RevBuild!F43</f>
        <v>1.527679424680471</v>
      </c>
      <c r="G42" s="112">
        <f>(Assumptions!$D$8-Model!G94)/RevBuild!G43</f>
        <v>1.0986170572568135</v>
      </c>
      <c r="H42" s="112">
        <f>(Assumptions!$D$8-Model!H94)/RevBuild!H43</f>
        <v>0.81410149300898504</v>
      </c>
      <c r="I42" s="112">
        <f>(Assumptions!$D$8-Model!I94)/RevBuild!I43</f>
        <v>0.6151616775564378</v>
      </c>
      <c r="J42" s="112">
        <f>(Assumptions!$D$8-Model!J94)/RevBuild!J43</f>
        <v>0.46961646304932364</v>
      </c>
      <c r="K42" s="112">
        <f>(Assumptions!$D$8-Model!K94)/RevBuild!K43</f>
        <v>0.35389914425857527</v>
      </c>
      <c r="L42" s="112">
        <f>(Assumptions!$D$8-Model!L94)/RevBuild!L43</f>
        <v>0.25740512296786061</v>
      </c>
    </row>
    <row r="43" spans="1:12" ht="15" customHeight="1" x14ac:dyDescent="0.45">
      <c r="B43" s="52" t="s">
        <v>468</v>
      </c>
      <c r="D43" s="112">
        <f>Assumptions!$D$8/Model!D54</f>
        <v>7.7309517696341992</v>
      </c>
      <c r="E43" s="112">
        <f>Assumptions!$D$8/Model!E54</f>
        <v>7.4382634593245722</v>
      </c>
      <c r="F43" s="112">
        <f>Assumptions!$D$8/Model!F54</f>
        <v>6.7097800509545023</v>
      </c>
      <c r="G43" s="112">
        <f>Assumptions!$D$8/Model!G54</f>
        <v>5.6227683656745002</v>
      </c>
      <c r="H43" s="112">
        <f>Assumptions!$D$8/Model!H54</f>
        <v>4.4523626394960738</v>
      </c>
      <c r="I43" s="112">
        <f>Assumptions!$D$8/Model!I54</f>
        <v>3.4580603953672795</v>
      </c>
      <c r="J43" s="112">
        <f>Assumptions!$D$8/Model!J54</f>
        <v>2.71360136402037</v>
      </c>
      <c r="K43" s="112">
        <f>Assumptions!$D$8/Model!K54</f>
        <v>2.1486948239124541</v>
      </c>
      <c r="L43" s="112">
        <f>Assumptions!$D$8/Model!L54</f>
        <v>1.7263269345957355</v>
      </c>
    </row>
    <row r="44" spans="1:12" ht="15" customHeight="1" x14ac:dyDescent="0.45">
      <c r="B44" s="52" t="s">
        <v>469</v>
      </c>
      <c r="E44" s="88">
        <f>Model!E85/Assumptions!$D$8</f>
        <v>2.2990519648519097E-2</v>
      </c>
      <c r="F44" s="88">
        <f>Model!F85/Assumptions!$D$8</f>
        <v>2.3879105930749267E-2</v>
      </c>
      <c r="G44" s="88">
        <f>Model!G85/Assumptions!$D$8</f>
        <v>3.7959579303889483E-2</v>
      </c>
      <c r="H44" s="88">
        <f>Model!H85/Assumptions!$D$8</f>
        <v>5.7895907052778556E-2</v>
      </c>
      <c r="I44" s="88">
        <f>Model!I85/Assumptions!$D$8</f>
        <v>7.7328769075600476E-2</v>
      </c>
      <c r="J44" s="88">
        <f>Model!J85/Assumptions!$D$8</f>
        <v>9.3504348577961721E-2</v>
      </c>
      <c r="K44" s="88">
        <f>Model!K85/Assumptions!$D$8</f>
        <v>0.11239610923358505</v>
      </c>
      <c r="L44" s="88">
        <f>Model!L85/Assumptions!$D$8</f>
        <v>0.13061554847727569</v>
      </c>
    </row>
    <row r="46" spans="1:12" ht="81.75" customHeight="1" x14ac:dyDescent="0.45">
      <c r="B46" s="44"/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2937"/>
    <pageSetUpPr fitToPage="1"/>
  </sheetPr>
  <dimension ref="A1:F29"/>
  <sheetViews>
    <sheetView showGridLines="0" zoomScaleNormal="100" workbookViewId="0">
      <selection activeCell="B5" sqref="A5:XFD5"/>
    </sheetView>
  </sheetViews>
  <sheetFormatPr defaultColWidth="8.6640625" defaultRowHeight="14.25" x14ac:dyDescent="0.45"/>
  <cols>
    <col min="1" max="1" width="2.9296875" style="72" customWidth="1"/>
    <col min="2" max="2" width="52" style="72" customWidth="1"/>
    <col min="3" max="3" width="11" style="72" customWidth="1"/>
    <col min="4" max="12" width="14" style="72" customWidth="1"/>
    <col min="13" max="16384" width="8.6640625" style="72"/>
  </cols>
  <sheetData>
    <row r="1" spans="1:6" ht="15" customHeight="1" x14ac:dyDescent="0.45">
      <c r="B1" s="73"/>
    </row>
    <row r="2" spans="1:6" ht="19.5" customHeight="1" x14ac:dyDescent="0.45">
      <c r="B2" s="15" t="s">
        <v>500</v>
      </c>
    </row>
    <row r="3" spans="1:6" ht="15" customHeight="1" x14ac:dyDescent="0.45">
      <c r="B3" s="16" t="s">
        <v>310</v>
      </c>
    </row>
    <row r="5" spans="1:6" ht="15" customHeight="1" x14ac:dyDescent="0.45">
      <c r="A5" s="72" t="s">
        <v>471</v>
      </c>
      <c r="B5" s="17" t="s">
        <v>311</v>
      </c>
      <c r="C5" s="28" t="s">
        <v>312</v>
      </c>
      <c r="D5" s="28" t="s">
        <v>313</v>
      </c>
      <c r="E5" s="28" t="s">
        <v>314</v>
      </c>
      <c r="F5" s="28" t="s">
        <v>315</v>
      </c>
    </row>
    <row r="6" spans="1:6" ht="15" customHeight="1" x14ac:dyDescent="0.45">
      <c r="B6" s="23" t="s">
        <v>316</v>
      </c>
      <c r="C6" s="82">
        <v>1.35</v>
      </c>
      <c r="D6" s="82">
        <v>0.05</v>
      </c>
      <c r="E6" s="24">
        <v>0.25</v>
      </c>
      <c r="F6" s="31">
        <f>C6/(1+(1-E6)*D6)</f>
        <v>1.3012048192771084</v>
      </c>
    </row>
    <row r="7" spans="1:6" ht="15" customHeight="1" x14ac:dyDescent="0.45">
      <c r="B7" s="23" t="s">
        <v>317</v>
      </c>
      <c r="C7" s="82">
        <v>0.72</v>
      </c>
      <c r="D7" s="82">
        <v>0.06</v>
      </c>
      <c r="E7" s="24">
        <v>0.255</v>
      </c>
      <c r="F7" s="31">
        <f>C7/(1+(1-E7)*D7)</f>
        <v>0.68919306978079831</v>
      </c>
    </row>
    <row r="8" spans="1:6" ht="15" customHeight="1" x14ac:dyDescent="0.45">
      <c r="B8" s="23" t="s">
        <v>318</v>
      </c>
      <c r="C8" s="82">
        <v>1.05</v>
      </c>
      <c r="D8" s="82">
        <v>0.1</v>
      </c>
      <c r="E8" s="24">
        <v>0.25</v>
      </c>
      <c r="F8" s="31">
        <f>C8/(1+(1-E8)*D8)</f>
        <v>0.9767441860465117</v>
      </c>
    </row>
    <row r="9" spans="1:6" ht="15" customHeight="1" x14ac:dyDescent="0.45">
      <c r="B9" s="23" t="s">
        <v>319</v>
      </c>
      <c r="C9" s="82">
        <v>0.95</v>
      </c>
      <c r="D9" s="82">
        <v>0.01</v>
      </c>
      <c r="E9" s="24">
        <v>0.25</v>
      </c>
      <c r="F9" s="31">
        <f>C9/(1+(1-E9)*D9)</f>
        <v>0.94292803970223316</v>
      </c>
    </row>
    <row r="10" spans="1:6" ht="15" customHeight="1" x14ac:dyDescent="0.45">
      <c r="B10" s="23" t="s">
        <v>320</v>
      </c>
      <c r="C10" s="82">
        <v>1.1499999999999999</v>
      </c>
      <c r="D10" s="82">
        <v>0.05</v>
      </c>
      <c r="E10" s="24">
        <v>0.25</v>
      </c>
      <c r="F10" s="31">
        <f>C10/(1+(1-E10)*D10)</f>
        <v>1.1084337349397588</v>
      </c>
    </row>
    <row r="11" spans="1:6" ht="15" customHeight="1" x14ac:dyDescent="0.45">
      <c r="B11" s="19" t="s">
        <v>321</v>
      </c>
      <c r="F11" s="93">
        <f>MEDIAN(F6:F10)</f>
        <v>0.9767441860465117</v>
      </c>
    </row>
    <row r="13" spans="1:6" ht="15" customHeight="1" x14ac:dyDescent="0.45">
      <c r="A13" s="72" t="s">
        <v>471</v>
      </c>
      <c r="B13" s="40" t="s">
        <v>322</v>
      </c>
    </row>
    <row r="14" spans="1:6" ht="15" customHeight="1" x14ac:dyDescent="0.45">
      <c r="B14" s="23" t="s">
        <v>501</v>
      </c>
      <c r="D14" s="94">
        <v>6.8000000000000005E-2</v>
      </c>
    </row>
    <row r="15" spans="1:6" ht="15" customHeight="1" x14ac:dyDescent="0.45">
      <c r="B15" s="23" t="s">
        <v>502</v>
      </c>
      <c r="D15" s="94">
        <v>0.06</v>
      </c>
    </row>
    <row r="16" spans="1:6" ht="15" customHeight="1" x14ac:dyDescent="0.45">
      <c r="B16" s="23" t="s">
        <v>323</v>
      </c>
      <c r="D16" s="95">
        <f>D25/D24</f>
        <v>2.0010302549596529E-2</v>
      </c>
    </row>
    <row r="17" spans="1:4" ht="15" customHeight="1" x14ac:dyDescent="0.45">
      <c r="B17" s="23" t="s">
        <v>522</v>
      </c>
      <c r="D17" s="96">
        <v>0.25</v>
      </c>
    </row>
    <row r="18" spans="1:4" ht="15" customHeight="1" x14ac:dyDescent="0.45">
      <c r="B18" s="23" t="s">
        <v>324</v>
      </c>
      <c r="D18" s="31">
        <f>F11*(1+(1-D17)*D16)</f>
        <v>0.99140289605377419</v>
      </c>
    </row>
    <row r="19" spans="1:4" ht="15" customHeight="1" x14ac:dyDescent="0.45">
      <c r="B19" s="19" t="s">
        <v>325</v>
      </c>
      <c r="D19" s="97">
        <f>D14+D18*D15</f>
        <v>0.12748417376322646</v>
      </c>
    </row>
    <row r="21" spans="1:4" ht="15" customHeight="1" x14ac:dyDescent="0.45">
      <c r="A21" s="72" t="s">
        <v>471</v>
      </c>
      <c r="B21" s="40" t="s">
        <v>326</v>
      </c>
    </row>
    <row r="22" spans="1:4" ht="15" customHeight="1" x14ac:dyDescent="0.45">
      <c r="B22" s="23" t="s">
        <v>327</v>
      </c>
      <c r="D22" s="98">
        <f>Assumptions!$E$42</f>
        <v>0.11</v>
      </c>
    </row>
    <row r="23" spans="1:4" ht="15" customHeight="1" x14ac:dyDescent="0.45">
      <c r="B23" s="23" t="s">
        <v>328</v>
      </c>
      <c r="D23" s="95">
        <f>D22*(1-D17)</f>
        <v>8.2500000000000004E-2</v>
      </c>
    </row>
    <row r="24" spans="1:4" ht="15" customHeight="1" x14ac:dyDescent="0.45">
      <c r="B24" s="23" t="s">
        <v>9</v>
      </c>
      <c r="D24" s="25">
        <f>Assumptions!$D$8</f>
        <v>234379.2648</v>
      </c>
    </row>
    <row r="25" spans="1:4" ht="15" customHeight="1" x14ac:dyDescent="0.45">
      <c r="B25" s="23" t="s">
        <v>329</v>
      </c>
      <c r="D25" s="25">
        <f>Model!E50</f>
        <v>4690</v>
      </c>
    </row>
    <row r="26" spans="1:4" ht="15" customHeight="1" x14ac:dyDescent="0.45">
      <c r="B26" s="23" t="s">
        <v>330</v>
      </c>
      <c r="D26" s="27">
        <f>D24/(D24+D25)</f>
        <v>0.98038225447372518</v>
      </c>
    </row>
    <row r="27" spans="1:4" ht="15" customHeight="1" x14ac:dyDescent="0.45">
      <c r="B27" s="23" t="s">
        <v>331</v>
      </c>
      <c r="D27" s="27">
        <f>D25/(D24+D25)</f>
        <v>1.9617745526274776E-2</v>
      </c>
    </row>
    <row r="29" spans="1:4" ht="15" customHeight="1" x14ac:dyDescent="0.45">
      <c r="B29" s="19" t="s">
        <v>332</v>
      </c>
      <c r="D29" s="99">
        <f>D26*D19+D27*D23</f>
        <v>0.12660168568962976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2937"/>
    <pageSetUpPr fitToPage="1"/>
  </sheetPr>
  <dimension ref="A1:F21"/>
  <sheetViews>
    <sheetView showGridLines="0" zoomScaleNormal="100" workbookViewId="0">
      <selection activeCell="K10" sqref="K10"/>
    </sheetView>
  </sheetViews>
  <sheetFormatPr defaultColWidth="8.6640625" defaultRowHeight="14.25" x14ac:dyDescent="0.45"/>
  <cols>
    <col min="1" max="1" width="30" customWidth="1"/>
    <col min="2" max="11" width="14" customWidth="1"/>
  </cols>
  <sheetData>
    <row r="1" spans="1:6" ht="15" customHeight="1" x14ac:dyDescent="0.45">
      <c r="A1" s="1" t="s">
        <v>0</v>
      </c>
    </row>
    <row r="2" spans="1:6" ht="19.5" customHeight="1" x14ac:dyDescent="0.6">
      <c r="A2" s="2" t="s">
        <v>503</v>
      </c>
    </row>
    <row r="3" spans="1:6" ht="15" customHeight="1" x14ac:dyDescent="0.45">
      <c r="A3" s="3" t="s">
        <v>333</v>
      </c>
    </row>
    <row r="5" spans="1:6" ht="15" customHeight="1" x14ac:dyDescent="0.45">
      <c r="A5" s="113" t="s">
        <v>504</v>
      </c>
      <c r="B5" s="114"/>
      <c r="C5" s="114"/>
      <c r="D5" s="114"/>
      <c r="E5" s="114"/>
      <c r="F5" s="114"/>
    </row>
    <row r="6" spans="1:6" ht="15" customHeight="1" x14ac:dyDescent="0.45">
      <c r="A6" s="4" t="s">
        <v>334</v>
      </c>
      <c r="B6" s="10">
        <v>5.5E-2</v>
      </c>
      <c r="C6" s="10">
        <v>0.06</v>
      </c>
      <c r="D6" s="10">
        <v>6.5000000000000002E-2</v>
      </c>
      <c r="E6" s="10">
        <v>7.0000000000000007E-2</v>
      </c>
      <c r="F6" s="10">
        <v>7.4999999999999997E-2</v>
      </c>
    </row>
    <row r="7" spans="1:6" ht="15" customHeight="1" x14ac:dyDescent="0.45">
      <c r="A7" s="9">
        <f>Assumptions!$D$59+-0.01</f>
        <v>0.11660168568962977</v>
      </c>
      <c r="B7" s="11">
        <f>(DCF!$F$14/(1+$A7)^1+DCF!$G$14/(1+$A7)^2+DCF!$H$14/(1+$A7)^3+DCF!$I$14/(1+$A7)^4+DCF!$J$14/(1+$A7)^5+DCF!$K$14/(1+$A7)^6+DCF!$L$14/(1+$A7)^7+DCF!$L$14*(1+B$6)/($A7-B$6)/(1+$A7)^7+DCF!$L$34)/DCF!$L$38</f>
        <v>249.30320815814196</v>
      </c>
      <c r="C7" s="11">
        <f>(DCF!$F$14/(1+$A7)^1+DCF!$G$14/(1+$A7)^2+DCF!$H$14/(1+$A7)^3+DCF!$I$14/(1+$A7)^4+DCF!$J$14/(1+$A7)^5+DCF!$K$14/(1+$A7)^6+DCF!$L$14/(1+$A7)^7+DCF!$L$14*(1+C$6)/($A7-C$6)/(1+$A7)^7+DCF!$L$34)/DCF!$L$38</f>
        <v>265.76831082888742</v>
      </c>
      <c r="D7" s="11">
        <f>(DCF!$F$14/(1+$A7)^1+DCF!$G$14/(1+$A7)^2+DCF!$H$14/(1+$A7)^3+DCF!$I$14/(1+$A7)^4+DCF!$J$14/(1+$A7)^5+DCF!$K$14/(1+$A7)^6+DCF!$L$14/(1+$A7)^7+DCF!$L$14*(1+D$6)/($A7-D$6)/(1+$A7)^7+DCF!$L$34)/DCF!$L$38</f>
        <v>285.424220631357</v>
      </c>
      <c r="E7" s="11">
        <f>(DCF!$F$14/(1+$A7)^1+DCF!$G$14/(1+$A7)^2+DCF!$H$14/(1+$A7)^3+DCF!$I$14/(1+$A7)^4+DCF!$J$14/(1+$A7)^5+DCF!$K$14/(1+$A7)^6+DCF!$L$14/(1+$A7)^7+DCF!$L$14*(1+E$6)/($A7-E$6)/(1+$A7)^7+DCF!$L$34)/DCF!$L$38</f>
        <v>309.29798425426105</v>
      </c>
      <c r="F7" s="11">
        <f>(DCF!$F$14/(1+$A7)^1+DCF!$G$14/(1+$A7)^2+DCF!$H$14/(1+$A7)^3+DCF!$I$14/(1+$A7)^4+DCF!$J$14/(1+$A7)^5+DCF!$K$14/(1+$A7)^6+DCF!$L$14/(1+$A7)^7+DCF!$L$14*(1+F$6)/($A7-F$6)/(1+$A7)^7+DCF!$L$34)/DCF!$L$38</f>
        <v>338.91040082527269</v>
      </c>
    </row>
    <row r="8" spans="1:6" ht="15" customHeight="1" x14ac:dyDescent="0.45">
      <c r="A8" s="9">
        <f>Assumptions!$D$59+-0.005</f>
        <v>0.12160168568962976</v>
      </c>
      <c r="B8" s="11">
        <f>(DCF!$F$14/(1+$A8)^1+DCF!$G$14/(1+$A8)^2+DCF!$H$14/(1+$A8)^3+DCF!$I$14/(1+$A8)^4+DCF!$J$14/(1+$A8)^5+DCF!$K$14/(1+$A8)^6+DCF!$L$14/(1+$A8)^7+DCF!$L$14*(1+B$6)/($A8-B$6)/(1+$A8)^7+DCF!$L$34)/DCF!$L$38</f>
        <v>229.96646038334293</v>
      </c>
      <c r="C8" s="11">
        <f>(DCF!$F$14/(1+$A8)^1+DCF!$G$14/(1+$A8)^2+DCF!$H$14/(1+$A8)^3+DCF!$I$14/(1+$A8)^4+DCF!$J$14/(1+$A8)^5+DCF!$K$14/(1+$A8)^6+DCF!$L$14/(1+$A8)^7+DCF!$L$14*(1+C$6)/($A8-C$6)/(1+$A8)^7+DCF!$L$34)/DCF!$L$38</f>
        <v>243.58925917398648</v>
      </c>
      <c r="D8" s="11">
        <f>(DCF!$F$14/(1+$A8)^1+DCF!$G$14/(1+$A8)^2+DCF!$H$14/(1+$A8)^3+DCF!$I$14/(1+$A8)^4+DCF!$J$14/(1+$A8)^5+DCF!$K$14/(1+$A8)^6+DCF!$L$14/(1+$A8)^7+DCF!$L$14*(1+D$6)/($A8-D$6)/(1+$A8)^7+DCF!$L$34)/DCF!$L$38</f>
        <v>259.61884119461052</v>
      </c>
      <c r="E8" s="11">
        <f>(DCF!$F$14/(1+$A8)^1+DCF!$G$14/(1+$A8)^2+DCF!$H$14/(1+$A8)^3+DCF!$I$14/(1+$A8)^4+DCF!$J$14/(1+$A8)^5+DCF!$K$14/(1+$A8)^6+DCF!$L$14/(1+$A8)^7+DCF!$L$14*(1+E$6)/($A8-E$6)/(1+$A8)^7+DCF!$L$34)/DCF!$L$38</f>
        <v>278.7548298774197</v>
      </c>
      <c r="F8" s="11">
        <f>(DCF!$F$14/(1+$A8)^1+DCF!$G$14/(1+$A8)^2+DCF!$H$14/(1+$A8)^3+DCF!$I$14/(1+$A8)^4+DCF!$J$14/(1+$A8)^5+DCF!$K$14/(1+$A8)^6+DCF!$L$14/(1+$A8)^7+DCF!$L$14*(1+F$6)/($A8-F$6)/(1+$A8)^7+DCF!$L$34)/DCF!$L$38</f>
        <v>301.99710536072257</v>
      </c>
    </row>
    <row r="9" spans="1:6" ht="15" customHeight="1" x14ac:dyDescent="0.45">
      <c r="A9" s="12">
        <f>Assumptions!$D$59+0</f>
        <v>0.12660168568962976</v>
      </c>
      <c r="B9" s="11">
        <f>(DCF!$F$14/(1+$A9)^1+DCF!$G$14/(1+$A9)^2+DCF!$H$14/(1+$A9)^3+DCF!$I$14/(1+$A9)^4+DCF!$J$14/(1+$A9)^5+DCF!$K$14/(1+$A9)^6+DCF!$L$14/(1+$A9)^7+DCF!$L$14*(1+B$6)/($A9-B$6)/(1+$A9)^7+DCF!$L$34)/DCF!$L$38</f>
        <v>213.37071139325241</v>
      </c>
      <c r="C9" s="11">
        <f>(DCF!$F$14/(1+$A9)^1+DCF!$G$14/(1+$A9)^2+DCF!$H$14/(1+$A9)^3+DCF!$I$14/(1+$A9)^4+DCF!$J$14/(1+$A9)^5+DCF!$K$14/(1+$A9)^6+DCF!$L$14/(1+$A9)^7+DCF!$L$14*(1+C$6)/($A9-C$6)/(1+$A9)^7+DCF!$L$34)/DCF!$L$38</f>
        <v>224.78227700204647</v>
      </c>
      <c r="D9" s="13">
        <f>(DCF!$F$14/(1+$A9)^1+DCF!$G$14/(1+$A9)^2+DCF!$H$14/(1+$A9)^3+DCF!$I$14/(1+$A9)^4+DCF!$J$14/(1+$A9)^5+DCF!$K$14/(1+$A9)^6+DCF!$L$14/(1+$A9)^7+DCF!$L$14*(1+D$6)/($A9-D$6)/(1+$A9)^7+DCF!$L$34)/DCF!$L$38</f>
        <v>238.04631880220461</v>
      </c>
      <c r="E9" s="11">
        <f>(DCF!$F$14/(1+$A9)^1+DCF!$G$14/(1+$A9)^2+DCF!$H$14/(1+$A9)^3+DCF!$I$14/(1+$A9)^4+DCF!$J$14/(1+$A9)^5+DCF!$K$14/(1+$A9)^6+DCF!$L$14/(1+$A9)^7+DCF!$L$14*(1+E$6)/($A9-E$6)/(1+$A9)^7+DCF!$L$34)/DCF!$L$38</f>
        <v>253.65376109274575</v>
      </c>
      <c r="F9" s="11">
        <f>(DCF!$F$14/(1+$A9)^1+DCF!$G$14/(1+$A9)^2+DCF!$H$14/(1+$A9)^3+DCF!$I$14/(1+$A9)^4+DCF!$J$14/(1+$A9)^5+DCF!$K$14/(1+$A9)^6+DCF!$L$14/(1+$A9)^7+DCF!$L$14*(1+F$6)/($A9-F$6)/(1+$A9)^7+DCF!$L$34)/DCF!$L$38</f>
        <v>272.28580269277768</v>
      </c>
    </row>
    <row r="10" spans="1:6" ht="15" customHeight="1" x14ac:dyDescent="0.45">
      <c r="A10" s="9">
        <f>Assumptions!$D$59+0.005</f>
        <v>0.13160168568962977</v>
      </c>
      <c r="B10" s="11">
        <f>(DCF!$F$14/(1+$A10)^1+DCF!$G$14/(1+$A10)^2+DCF!$H$14/(1+$A10)^3+DCF!$I$14/(1+$A10)^4+DCF!$J$14/(1+$A10)^5+DCF!$K$14/(1+$A10)^6+DCF!$L$14/(1+$A10)^7+DCF!$L$14*(1+B$6)/($A10-B$6)/(1+$A10)^7+DCF!$L$34)/DCF!$L$38</f>
        <v>198.97819502214051</v>
      </c>
      <c r="C10" s="11">
        <f>(DCF!$F$14/(1+$A10)^1+DCF!$G$14/(1+$A10)^2+DCF!$H$14/(1+$A10)^3+DCF!$I$14/(1+$A10)^4+DCF!$J$14/(1+$A10)^5+DCF!$K$14/(1+$A10)^6+DCF!$L$14/(1+$A10)^7+DCF!$L$14*(1+C$6)/($A10-C$6)/(1+$A10)^7+DCF!$L$34)/DCF!$L$38</f>
        <v>208.63988264431561</v>
      </c>
      <c r="D10" s="11">
        <f>(DCF!$F$14/(1+$A10)^1+DCF!$G$14/(1+$A10)^2+DCF!$H$14/(1+$A10)^3+DCF!$I$14/(1+$A10)^4+DCF!$J$14/(1+$A10)^5+DCF!$K$14/(1+$A10)^6+DCF!$L$14/(1+$A10)^7+DCF!$L$14*(1+D$6)/($A10-D$6)/(1+$A10)^7+DCF!$L$34)/DCF!$L$38</f>
        <v>219.75223739632872</v>
      </c>
      <c r="E10" s="11">
        <f>(DCF!$F$14/(1+$A10)^1+DCF!$G$14/(1+$A10)^2+DCF!$H$14/(1+$A10)^3+DCF!$I$14/(1+$A10)^4+DCF!$J$14/(1+$A10)^5+DCF!$K$14/(1+$A10)^6+DCF!$L$14/(1+$A10)^7+DCF!$L$14*(1+E$6)/($A10-E$6)/(1+$A10)^7+DCF!$L$34)/DCF!$L$38</f>
        <v>232.66849647784363</v>
      </c>
      <c r="F10" s="11">
        <f>(DCF!$F$14/(1+$A10)^1+DCF!$G$14/(1+$A10)^2+DCF!$H$14/(1+$A10)^3+DCF!$I$14/(1+$A10)^4+DCF!$J$14/(1+$A10)^5+DCF!$K$14/(1+$A10)^6+DCF!$L$14/(1+$A10)^7+DCF!$L$14*(1+F$6)/($A10-F$6)/(1+$A10)^7+DCF!$L$34)/DCF!$L$38</f>
        <v>247.86671216968631</v>
      </c>
    </row>
    <row r="11" spans="1:6" ht="15" customHeight="1" x14ac:dyDescent="0.45">
      <c r="A11" s="9">
        <f>Assumptions!$D$59+0.01</f>
        <v>0.13660168568962977</v>
      </c>
      <c r="B11" s="11">
        <f>(DCF!$F$14/(1+$A11)^1+DCF!$G$14/(1+$A11)^2+DCF!$H$14/(1+$A11)^3+DCF!$I$14/(1+$A11)^4+DCF!$J$14/(1+$A11)^5+DCF!$K$14/(1+$A11)^6+DCF!$L$14/(1+$A11)^7+DCF!$L$14*(1+B$6)/($A11-B$6)/(1+$A11)^7+DCF!$L$34)/DCF!$L$38</f>
        <v>186.38297962750883</v>
      </c>
      <c r="C11" s="11">
        <f>(DCF!$F$14/(1+$A11)^1+DCF!$G$14/(1+$A11)^2+DCF!$H$14/(1+$A11)^3+DCF!$I$14/(1+$A11)^4+DCF!$J$14/(1+$A11)^5+DCF!$K$14/(1+$A11)^6+DCF!$L$14/(1+$A11)^7+DCF!$L$14*(1+C$6)/($A11-C$6)/(1+$A11)^7+DCF!$L$34)/DCF!$L$38</f>
        <v>194.63934394098243</v>
      </c>
      <c r="D11" s="11">
        <f>(DCF!$F$14/(1+$A11)^1+DCF!$G$14/(1+$A11)^2+DCF!$H$14/(1+$A11)^3+DCF!$I$14/(1+$A11)^4+DCF!$J$14/(1+$A11)^5+DCF!$K$14/(1+$A11)^6+DCF!$L$14/(1+$A11)^7+DCF!$L$14*(1+D$6)/($A11-D$6)/(1+$A11)^7+DCF!$L$34)/DCF!$L$38</f>
        <v>204.04880461440229</v>
      </c>
      <c r="E11" s="11">
        <f>(DCF!$F$14/(1+$A11)^1+DCF!$G$14/(1+$A11)^2+DCF!$H$14/(1+$A11)^3+DCF!$I$14/(1+$A11)^4+DCF!$J$14/(1+$A11)^5+DCF!$K$14/(1+$A11)^6+DCF!$L$14/(1+$A11)^7+DCF!$L$14*(1+E$6)/($A11-E$6)/(1+$A11)^7+DCF!$L$34)/DCF!$L$38</f>
        <v>214.87106146197144</v>
      </c>
      <c r="F11" s="11">
        <f>(DCF!$F$14/(1+$A11)^1+DCF!$G$14/(1+$A11)^2+DCF!$H$14/(1+$A11)^3+DCF!$I$14/(1+$A11)^4+DCF!$J$14/(1+$A11)^5+DCF!$K$14/(1+$A11)^6+DCF!$L$14/(1+$A11)^7+DCF!$L$14*(1+F$6)/($A11-F$6)/(1+$A11)^7+DCF!$L$34)/DCF!$L$38</f>
        <v>227.4501301120772</v>
      </c>
    </row>
    <row r="13" spans="1:6" ht="15" customHeight="1" x14ac:dyDescent="0.45">
      <c r="A13" s="8" t="s">
        <v>335</v>
      </c>
    </row>
    <row r="14" spans="1:6" ht="15" customHeight="1" x14ac:dyDescent="0.45">
      <c r="A14" s="4" t="s">
        <v>334</v>
      </c>
      <c r="B14" s="10">
        <v>5.5E-2</v>
      </c>
      <c r="C14" s="10">
        <v>0.06</v>
      </c>
      <c r="D14" s="10">
        <v>6.5000000000000002E-2</v>
      </c>
      <c r="E14" s="10">
        <v>7.0000000000000007E-2</v>
      </c>
      <c r="F14" s="10">
        <v>7.4999999999999997E-2</v>
      </c>
    </row>
    <row r="15" spans="1:6" ht="15" customHeight="1" x14ac:dyDescent="0.45">
      <c r="A15" s="9">
        <f>Assumptions!$D$59+-0.01</f>
        <v>0.11660168568962977</v>
      </c>
      <c r="B15" s="5">
        <f>B7/Assumptions!$D$6-1</f>
        <v>2.6488278330555337E-2</v>
      </c>
      <c r="C15" s="5">
        <f>C7/Assumptions!$D$6-1</f>
        <v>9.4282170827551415E-2</v>
      </c>
      <c r="D15" s="5">
        <f>D7/Assumptions!$D$6-1</f>
        <v>0.17521398538871402</v>
      </c>
      <c r="E15" s="5">
        <f>E7/Assumptions!$D$6-1</f>
        <v>0.27351251391386766</v>
      </c>
      <c r="F15" s="5">
        <f>F7/Assumptions!$D$6-1</f>
        <v>0.39543953895200179</v>
      </c>
    </row>
    <row r="16" spans="1:6" ht="15" customHeight="1" x14ac:dyDescent="0.45">
      <c r="A16" s="9">
        <f>Assumptions!$D$59+-0.005</f>
        <v>0.12160168568962976</v>
      </c>
      <c r="B16" s="5">
        <f>B8/Assumptions!$D$6-1</f>
        <v>-5.3129409217511747E-2</v>
      </c>
      <c r="C16" s="5">
        <f>C8/Assumptions!$D$6-1</f>
        <v>2.9614986370751772E-3</v>
      </c>
      <c r="D16" s="5">
        <f>D8/Assumptions!$D$6-1</f>
        <v>6.8962165745503956E-2</v>
      </c>
      <c r="E16" s="5">
        <f>E8/Assumptions!$D$6-1</f>
        <v>0.14775324197068262</v>
      </c>
      <c r="F16" s="5">
        <f>F8/Assumptions!$D$6-1</f>
        <v>0.24345166286788222</v>
      </c>
    </row>
    <row r="17" spans="1:6" ht="15" customHeight="1" x14ac:dyDescent="0.45">
      <c r="A17" s="12">
        <f>Assumptions!$D$59+0</f>
        <v>0.12660168568962976</v>
      </c>
      <c r="B17" s="5">
        <f>B9/Assumptions!$D$6-1</f>
        <v>-0.12146122866861941</v>
      </c>
      <c r="C17" s="5">
        <f>C9/Assumptions!$D$6-1</f>
        <v>-7.4474916613635034E-2</v>
      </c>
      <c r="D17" s="6">
        <f>D9/Assumptions!$D$6-1</f>
        <v>-1.9861165223351573E-2</v>
      </c>
      <c r="E17" s="5">
        <f>E9/Assumptions!$D$6-1</f>
        <v>4.4401371485756735E-2</v>
      </c>
      <c r="F17" s="5">
        <f>F9/Assumptions!$D$6-1</f>
        <v>0.12111748133889599</v>
      </c>
    </row>
    <row r="18" spans="1:6" ht="15" customHeight="1" x14ac:dyDescent="0.45">
      <c r="A18" s="9">
        <f>Assumptions!$D$59+0.005</f>
        <v>0.13160168568962977</v>
      </c>
      <c r="B18" s="5">
        <f>B10/Assumptions!$D$6-1</f>
        <v>-0.18072139407032362</v>
      </c>
      <c r="C18" s="5">
        <f>C10/Assumptions!$D$6-1</f>
        <v>-0.14094008051914353</v>
      </c>
      <c r="D18" s="5">
        <f>D10/Assumptions!$D$6-1</f>
        <v>-9.5185747946108124E-2</v>
      </c>
      <c r="E18" s="5">
        <f>E10/Assumptions!$D$6-1</f>
        <v>-4.2003967234143236E-2</v>
      </c>
      <c r="F18" s="5">
        <f>F10/Assumptions!$D$6-1</f>
        <v>2.057360797828589E-2</v>
      </c>
    </row>
    <row r="19" spans="1:6" ht="15" customHeight="1" x14ac:dyDescent="0.45">
      <c r="A19" s="9">
        <f>Assumptions!$D$59+0.01</f>
        <v>0.13660168568962977</v>
      </c>
      <c r="B19" s="5">
        <f>B11/Assumptions!$D$6-1</f>
        <v>-0.232581300170837</v>
      </c>
      <c r="C19" s="5">
        <f>C11/Assumptions!$D$6-1</f>
        <v>-0.19858630567388968</v>
      </c>
      <c r="D19" s="5">
        <f>D11/Assumptions!$D$6-1</f>
        <v>-0.1598435186955891</v>
      </c>
      <c r="E19" s="5">
        <f>E11/Assumptions!$D$6-1</f>
        <v>-0.11528364366957045</v>
      </c>
      <c r="F19" s="5">
        <f>F11/Assumptions!$D$6-1</f>
        <v>-6.3490220644471518E-2</v>
      </c>
    </row>
    <row r="21" spans="1:6" ht="61.5" customHeight="1" x14ac:dyDescent="0.45">
      <c r="A21" s="7"/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7706"/>
    <pageSetUpPr fitToPage="1"/>
  </sheetPr>
  <dimension ref="A1:L54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27" sqref="A27"/>
      <selection pane="bottomRight" activeCell="F7" sqref="F7"/>
    </sheetView>
  </sheetViews>
  <sheetFormatPr defaultColWidth="8.6640625" defaultRowHeight="14.25" x14ac:dyDescent="0.45"/>
  <cols>
    <col min="1" max="1" width="2.6640625" style="72" customWidth="1"/>
    <col min="2" max="2" width="56" style="72" customWidth="1"/>
    <col min="3" max="3" width="11" style="72" customWidth="1"/>
    <col min="4" max="12" width="13" style="72" customWidth="1"/>
    <col min="13" max="16384" width="8.6640625" style="72"/>
  </cols>
  <sheetData>
    <row r="1" spans="1:12" ht="15" customHeight="1" x14ac:dyDescent="0.45">
      <c r="B1" s="73"/>
    </row>
    <row r="2" spans="1:12" ht="19.5" customHeight="1" x14ac:dyDescent="0.45">
      <c r="B2" s="15" t="s">
        <v>505</v>
      </c>
    </row>
    <row r="3" spans="1:12" ht="15" customHeight="1" x14ac:dyDescent="0.45">
      <c r="B3" s="16" t="s">
        <v>336</v>
      </c>
    </row>
    <row r="5" spans="1:12" ht="15" customHeight="1" x14ac:dyDescent="0.45">
      <c r="A5" s="72" t="s">
        <v>471</v>
      </c>
      <c r="B5" s="17" t="s">
        <v>337</v>
      </c>
      <c r="C5" s="28" t="s">
        <v>48</v>
      </c>
      <c r="D5" s="28" t="s">
        <v>24</v>
      </c>
      <c r="E5" s="28" t="s">
        <v>25</v>
      </c>
      <c r="F5" s="28" t="s">
        <v>26</v>
      </c>
      <c r="G5" s="28" t="s">
        <v>27</v>
      </c>
      <c r="H5" s="28" t="s">
        <v>28</v>
      </c>
      <c r="I5" s="28" t="s">
        <v>49</v>
      </c>
      <c r="J5" s="28" t="s">
        <v>50</v>
      </c>
      <c r="K5" s="28" t="s">
        <v>51</v>
      </c>
      <c r="L5" s="28" t="s">
        <v>52</v>
      </c>
    </row>
    <row r="6" spans="1:12" ht="15" customHeight="1" x14ac:dyDescent="0.45">
      <c r="B6" s="40" t="s">
        <v>338</v>
      </c>
    </row>
    <row r="7" spans="1:12" ht="15" customHeight="1" x14ac:dyDescent="0.45">
      <c r="B7" s="23" t="s">
        <v>252</v>
      </c>
      <c r="C7" s="74" t="s">
        <v>59</v>
      </c>
      <c r="F7" s="25">
        <f>Model!F26</f>
        <v>2740.7281946663993</v>
      </c>
      <c r="G7" s="25">
        <f>Model!G26</f>
        <v>6472.5324630397763</v>
      </c>
      <c r="H7" s="25">
        <f>Model!H26</f>
        <v>10833.328363411809</v>
      </c>
      <c r="I7" s="25">
        <f>Model!I26</f>
        <v>15687.149782578761</v>
      </c>
      <c r="J7" s="25">
        <f>Model!J26</f>
        <v>19967.41860828803</v>
      </c>
      <c r="K7" s="25">
        <f>Model!K26</f>
        <v>24083.355650971571</v>
      </c>
      <c r="L7" s="25">
        <f>Model!L26</f>
        <v>27730.329134161766</v>
      </c>
    </row>
    <row r="8" spans="1:12" ht="15" customHeight="1" x14ac:dyDescent="0.45">
      <c r="B8" s="23" t="s">
        <v>339</v>
      </c>
      <c r="C8" s="74" t="s">
        <v>68</v>
      </c>
      <c r="F8" s="34">
        <f>Assumptions!F56</f>
        <v>0.32</v>
      </c>
      <c r="G8" s="34">
        <f>Assumptions!G56</f>
        <v>0.24</v>
      </c>
      <c r="H8" s="34">
        <f>Assumptions!H56</f>
        <v>0.2</v>
      </c>
      <c r="I8" s="34">
        <f>Assumptions!I56</f>
        <v>0.22</v>
      </c>
      <c r="J8" s="34">
        <f>Assumptions!J56</f>
        <v>0.25169999999999998</v>
      </c>
      <c r="K8" s="34">
        <f>Assumptions!K56</f>
        <v>0.25169999999999998</v>
      </c>
      <c r="L8" s="34">
        <f>Assumptions!L56</f>
        <v>0.25169999999999998</v>
      </c>
    </row>
    <row r="9" spans="1:12" ht="15" customHeight="1" x14ac:dyDescent="0.45">
      <c r="B9" s="19" t="s">
        <v>340</v>
      </c>
      <c r="F9" s="100">
        <f t="shared" ref="F9:L9" si="0">F7*(1-F8)</f>
        <v>1863.6951723731513</v>
      </c>
      <c r="G9" s="100">
        <f t="shared" si="0"/>
        <v>4919.1246719102301</v>
      </c>
      <c r="H9" s="100">
        <f t="shared" si="0"/>
        <v>8666.6626907294467</v>
      </c>
      <c r="I9" s="100">
        <f t="shared" si="0"/>
        <v>12235.976830411433</v>
      </c>
      <c r="J9" s="100">
        <f t="shared" si="0"/>
        <v>14941.619344581932</v>
      </c>
      <c r="K9" s="100">
        <f t="shared" si="0"/>
        <v>18021.575033622026</v>
      </c>
      <c r="L9" s="100">
        <f t="shared" si="0"/>
        <v>20750.605291093249</v>
      </c>
    </row>
    <row r="10" spans="1:12" ht="15" customHeight="1" x14ac:dyDescent="0.45">
      <c r="B10" s="23" t="s">
        <v>341</v>
      </c>
      <c r="F10" s="25">
        <f>-Model!F24</f>
        <v>1914.9270053335999</v>
      </c>
      <c r="G10" s="25">
        <f>-Model!G24</f>
        <v>2368.6686969602242</v>
      </c>
      <c r="H10" s="25">
        <f>-Model!H24</f>
        <v>2901.9657369881888</v>
      </c>
      <c r="I10" s="25">
        <f>-Model!I24</f>
        <v>3453.1380518082392</v>
      </c>
      <c r="J10" s="25">
        <f>-Model!J24</f>
        <v>4010.7532430737542</v>
      </c>
      <c r="K10" s="25">
        <f>-Model!K24</f>
        <v>4577.4457770419012</v>
      </c>
      <c r="L10" s="25">
        <f>-Model!L24</f>
        <v>5133.8389317814499</v>
      </c>
    </row>
    <row r="11" spans="1:12" ht="15" customHeight="1" x14ac:dyDescent="0.45">
      <c r="B11" s="23" t="s">
        <v>342</v>
      </c>
      <c r="F11" s="25">
        <f>Model!F78</f>
        <v>-1509.3691000000001</v>
      </c>
      <c r="G11" s="25">
        <f>Model!G78</f>
        <v>-1779.6485559999999</v>
      </c>
      <c r="H11" s="25">
        <f>Model!H78</f>
        <v>-1989.3293382699999</v>
      </c>
      <c r="I11" s="25">
        <f>Model!I78</f>
        <v>-2203.2160709569998</v>
      </c>
      <c r="J11" s="25">
        <f>Model!J78</f>
        <v>-2384.5524234784298</v>
      </c>
      <c r="K11" s="25">
        <f>Model!K78</f>
        <v>-2549.4782372709196</v>
      </c>
      <c r="L11" s="25">
        <f>Model!L78</f>
        <v>-2692.7427510572006</v>
      </c>
    </row>
    <row r="12" spans="1:12" ht="15" customHeight="1" x14ac:dyDescent="0.45">
      <c r="B12" s="23" t="s">
        <v>343</v>
      </c>
      <c r="F12" s="25">
        <f>SUM(Model!F70:F76)</f>
        <v>1770.1626158395056</v>
      </c>
      <c r="G12" s="25">
        <f>SUM(Model!G70:G76)</f>
        <v>1554.9465445643846</v>
      </c>
      <c r="H12" s="25">
        <f>SUM(Model!H70:H76)</f>
        <v>1699.3773523856835</v>
      </c>
      <c r="I12" s="25">
        <f>SUM(Model!I70:I76)</f>
        <v>1738.220112156509</v>
      </c>
      <c r="J12" s="25">
        <f>SUM(Model!J70:J76)</f>
        <v>1694.9139744777985</v>
      </c>
      <c r="K12" s="25">
        <f>SUM(Model!K70:K76)</f>
        <v>1607.5528711015568</v>
      </c>
      <c r="L12" s="25">
        <f>SUM(Model!L70:L76)</f>
        <v>1484.7093879762606</v>
      </c>
    </row>
    <row r="13" spans="1:12" ht="15" customHeight="1" x14ac:dyDescent="0.45">
      <c r="B13" s="23" t="s">
        <v>344</v>
      </c>
      <c r="F13" s="25">
        <f>Model!F80</f>
        <v>-893.25999999999988</v>
      </c>
      <c r="G13" s="25">
        <f>Model!G80</f>
        <v>-1231.8050000000003</v>
      </c>
      <c r="H13" s="25">
        <f>Model!H80</f>
        <v>-1614.42</v>
      </c>
      <c r="I13" s="25">
        <f>Model!I80</f>
        <v>-2007.7800000000002</v>
      </c>
      <c r="J13" s="25">
        <f>Model!J80</f>
        <v>-2402.7849999999999</v>
      </c>
      <c r="K13" s="25">
        <f>Model!K80</f>
        <v>-2806.08</v>
      </c>
      <c r="L13" s="25">
        <f>Model!L80</f>
        <v>-3200.5099999999998</v>
      </c>
    </row>
    <row r="14" spans="1:12" ht="15" customHeight="1" x14ac:dyDescent="0.45">
      <c r="B14" s="19" t="s">
        <v>345</v>
      </c>
      <c r="F14" s="101">
        <f t="shared" ref="F14:L14" si="1">SUM(F9:F13)</f>
        <v>3146.1556935462572</v>
      </c>
      <c r="G14" s="101">
        <f t="shared" si="1"/>
        <v>5831.2863574348385</v>
      </c>
      <c r="H14" s="101">
        <f t="shared" si="1"/>
        <v>9664.2564418333186</v>
      </c>
      <c r="I14" s="101">
        <f t="shared" si="1"/>
        <v>13216.33892341918</v>
      </c>
      <c r="J14" s="101">
        <f t="shared" si="1"/>
        <v>15859.949138655054</v>
      </c>
      <c r="K14" s="101">
        <f t="shared" si="1"/>
        <v>18851.015444494566</v>
      </c>
      <c r="L14" s="101">
        <f t="shared" si="1"/>
        <v>21475.900859793761</v>
      </c>
    </row>
    <row r="15" spans="1:12" ht="15" customHeight="1" x14ac:dyDescent="0.45">
      <c r="B15" s="23" t="s">
        <v>346</v>
      </c>
      <c r="F15" s="27">
        <f>F14/RevBuild!F43</f>
        <v>2.2567809062157086E-2</v>
      </c>
      <c r="G15" s="27">
        <f>G14/RevBuild!G43</f>
        <v>3.0915677600546108E-2</v>
      </c>
      <c r="H15" s="27">
        <f>H14/RevBuild!H43</f>
        <v>3.9937703719354407E-2</v>
      </c>
      <c r="I15" s="27">
        <f>I14/RevBuild!I43</f>
        <v>4.4564474070505233E-2</v>
      </c>
      <c r="J15" s="27">
        <f>J14/RevBuild!J43</f>
        <v>4.5332616482903446E-2</v>
      </c>
      <c r="K15" s="27">
        <f>K14/RevBuild!K43</f>
        <v>4.699545012796056E-2</v>
      </c>
      <c r="L15" s="27">
        <f>L14/RevBuild!L43</f>
        <v>4.7835659645865086E-2</v>
      </c>
    </row>
    <row r="18" spans="1:12" ht="15" customHeight="1" x14ac:dyDescent="0.45">
      <c r="A18" s="72" t="s">
        <v>471</v>
      </c>
      <c r="B18" s="40" t="s">
        <v>347</v>
      </c>
    </row>
    <row r="19" spans="1:12" ht="15" customHeight="1" x14ac:dyDescent="0.45">
      <c r="B19" s="23" t="s">
        <v>348</v>
      </c>
      <c r="C19" s="74" t="s">
        <v>349</v>
      </c>
      <c r="F19" s="79">
        <v>1</v>
      </c>
      <c r="G19" s="79">
        <v>2</v>
      </c>
      <c r="H19" s="79">
        <v>3</v>
      </c>
      <c r="I19" s="79">
        <v>4</v>
      </c>
      <c r="J19" s="79">
        <v>5</v>
      </c>
      <c r="K19" s="79">
        <v>6</v>
      </c>
      <c r="L19" s="79">
        <v>7</v>
      </c>
    </row>
    <row r="20" spans="1:12" ht="15" customHeight="1" x14ac:dyDescent="0.45">
      <c r="B20" s="23" t="s">
        <v>332</v>
      </c>
      <c r="F20" s="98">
        <f>Assumptions!$D$59</f>
        <v>0.12660168568962976</v>
      </c>
      <c r="G20" s="98">
        <f>Assumptions!$D$59</f>
        <v>0.12660168568962976</v>
      </c>
      <c r="H20" s="98">
        <f>Assumptions!$D$59</f>
        <v>0.12660168568962976</v>
      </c>
      <c r="I20" s="98">
        <f>Assumptions!$D$59</f>
        <v>0.12660168568962976</v>
      </c>
      <c r="J20" s="98">
        <f>Assumptions!$D$59</f>
        <v>0.12660168568962976</v>
      </c>
      <c r="K20" s="98">
        <f>Assumptions!$D$59</f>
        <v>0.12660168568962976</v>
      </c>
      <c r="L20" s="98">
        <f>Assumptions!$D$59</f>
        <v>0.12660168568962976</v>
      </c>
    </row>
    <row r="21" spans="1:12" ht="15" customHeight="1" x14ac:dyDescent="0.45">
      <c r="B21" s="23" t="s">
        <v>350</v>
      </c>
      <c r="F21" s="31">
        <f t="shared" ref="F21:L21" si="2">1/(1+F20)^F19</f>
        <v>0.88762515865389224</v>
      </c>
      <c r="G21" s="31">
        <f t="shared" si="2"/>
        <v>0.78787842227534743</v>
      </c>
      <c r="H21" s="31">
        <f t="shared" si="2"/>
        <v>0.69934070957213346</v>
      </c>
      <c r="I21" s="31">
        <f t="shared" si="2"/>
        <v>0.62075240828709066</v>
      </c>
      <c r="J21" s="31">
        <f t="shared" si="2"/>
        <v>0.55099545489061452</v>
      </c>
      <c r="K21" s="31">
        <f t="shared" si="2"/>
        <v>0.48907742806485527</v>
      </c>
      <c r="L21" s="31">
        <f t="shared" si="2"/>
        <v>0.43411742968010469</v>
      </c>
    </row>
    <row r="22" spans="1:12" ht="15" customHeight="1" x14ac:dyDescent="0.45">
      <c r="B22" s="23" t="s">
        <v>351</v>
      </c>
      <c r="F22" s="77">
        <f t="shared" ref="F22:L22" si="3">F14*F21</f>
        <v>2792.6069466338431</v>
      </c>
      <c r="G22" s="77">
        <f t="shared" si="3"/>
        <v>4594.3446951315182</v>
      </c>
      <c r="H22" s="77">
        <f t="shared" si="3"/>
        <v>6758.607957518775</v>
      </c>
      <c r="I22" s="77">
        <f t="shared" si="3"/>
        <v>8204.0742154508716</v>
      </c>
      <c r="J22" s="77">
        <f t="shared" si="3"/>
        <v>8738.7598901952515</v>
      </c>
      <c r="K22" s="77">
        <f t="shared" si="3"/>
        <v>9219.606150004267</v>
      </c>
      <c r="L22" s="77">
        <f t="shared" si="3"/>
        <v>9323.0628813184176</v>
      </c>
    </row>
    <row r="24" spans="1:12" ht="15" customHeight="1" x14ac:dyDescent="0.45">
      <c r="A24" s="72" t="s">
        <v>471</v>
      </c>
      <c r="B24" s="40" t="s">
        <v>352</v>
      </c>
    </row>
    <row r="25" spans="1:12" ht="15" customHeight="1" x14ac:dyDescent="0.45">
      <c r="B25" s="23" t="s">
        <v>353</v>
      </c>
      <c r="C25" s="74" t="s">
        <v>59</v>
      </c>
      <c r="L25" s="77">
        <f>SUM(F22:L22)</f>
        <v>49631.062736252949</v>
      </c>
    </row>
    <row r="26" spans="1:12" ht="15" customHeight="1" x14ac:dyDescent="0.45">
      <c r="B26" s="23" t="s">
        <v>106</v>
      </c>
      <c r="C26" s="74"/>
      <c r="L26" s="98">
        <f>Assumptions!$D$60</f>
        <v>6.5000000000000002E-2</v>
      </c>
    </row>
    <row r="27" spans="1:12" ht="15" customHeight="1" x14ac:dyDescent="0.45">
      <c r="B27" s="23" t="s">
        <v>354</v>
      </c>
      <c r="C27" s="74" t="s">
        <v>59</v>
      </c>
      <c r="L27" s="77">
        <f>L14*(1+L26)/(L20-L26)</f>
        <v>371285.85297026503</v>
      </c>
    </row>
    <row r="28" spans="1:12" ht="15" customHeight="1" x14ac:dyDescent="0.45">
      <c r="B28" s="23" t="s">
        <v>355</v>
      </c>
      <c r="C28" s="74" t="s">
        <v>59</v>
      </c>
      <c r="L28" s="77">
        <f>L27*L21</f>
        <v>161181.66016803673</v>
      </c>
    </row>
    <row r="29" spans="1:12" ht="15" customHeight="1" x14ac:dyDescent="0.45">
      <c r="B29" s="19" t="s">
        <v>356</v>
      </c>
      <c r="C29" s="74" t="s">
        <v>59</v>
      </c>
      <c r="L29" s="100">
        <f>L25+L28</f>
        <v>210812.72290428967</v>
      </c>
    </row>
    <row r="30" spans="1:12" ht="15" customHeight="1" x14ac:dyDescent="0.45">
      <c r="B30" s="23" t="s">
        <v>357</v>
      </c>
      <c r="C30" s="74"/>
      <c r="L30" s="27">
        <f>L28/L29</f>
        <v>0.76457273521017155</v>
      </c>
    </row>
    <row r="32" spans="1:12" ht="15" customHeight="1" x14ac:dyDescent="0.45">
      <c r="B32" s="23" t="s">
        <v>358</v>
      </c>
      <c r="C32" s="74" t="s">
        <v>59</v>
      </c>
      <c r="L32" s="25">
        <f>Model!E36</f>
        <v>23601.496592589861</v>
      </c>
    </row>
    <row r="33" spans="1:12" ht="15" customHeight="1" x14ac:dyDescent="0.45">
      <c r="B33" s="23" t="s">
        <v>359</v>
      </c>
      <c r="C33" s="74" t="s">
        <v>59</v>
      </c>
      <c r="L33" s="25">
        <f>-Model!E50</f>
        <v>-4690</v>
      </c>
    </row>
    <row r="34" spans="1:12" ht="15" customHeight="1" x14ac:dyDescent="0.45">
      <c r="B34" s="19" t="s">
        <v>360</v>
      </c>
      <c r="C34" s="74" t="s">
        <v>59</v>
      </c>
      <c r="L34" s="100">
        <f>L32+L33</f>
        <v>18911.496592589861</v>
      </c>
    </row>
    <row r="36" spans="1:12" ht="15" customHeight="1" x14ac:dyDescent="0.45">
      <c r="A36" s="72" t="s">
        <v>471</v>
      </c>
      <c r="B36" s="19" t="s">
        <v>361</v>
      </c>
      <c r="C36" s="74" t="s">
        <v>59</v>
      </c>
      <c r="L36" s="100">
        <f>L29+L34</f>
        <v>229724.21949687952</v>
      </c>
    </row>
    <row r="38" spans="1:12" ht="15" customHeight="1" x14ac:dyDescent="0.45">
      <c r="B38" s="23" t="s">
        <v>10</v>
      </c>
      <c r="C38" s="74"/>
      <c r="L38" s="26">
        <f>Assumptions!$D$7</f>
        <v>965.04</v>
      </c>
    </row>
    <row r="40" spans="1:12" ht="15" customHeight="1" x14ac:dyDescent="0.45">
      <c r="A40" s="72" t="s">
        <v>471</v>
      </c>
      <c r="B40" s="19" t="s">
        <v>506</v>
      </c>
      <c r="C40" s="74" t="s">
        <v>55</v>
      </c>
      <c r="L40" s="33">
        <f>L36/L38</f>
        <v>238.04631880220461</v>
      </c>
    </row>
    <row r="41" spans="1:12" ht="15" customHeight="1" x14ac:dyDescent="0.45">
      <c r="B41" s="23" t="s">
        <v>362</v>
      </c>
      <c r="C41" s="74" t="s">
        <v>55</v>
      </c>
      <c r="L41" s="29">
        <f>Assumptions!$D$6</f>
        <v>242.87</v>
      </c>
    </row>
    <row r="42" spans="1:12" ht="15" customHeight="1" x14ac:dyDescent="0.45">
      <c r="B42" s="19" t="s">
        <v>363</v>
      </c>
      <c r="C42" s="74"/>
      <c r="L42" s="22">
        <f>L40/L41-1</f>
        <v>-1.9861165223351573E-2</v>
      </c>
    </row>
    <row r="45" spans="1:12" ht="15" customHeight="1" x14ac:dyDescent="0.45">
      <c r="A45" s="72" t="s">
        <v>471</v>
      </c>
      <c r="B45" s="40" t="s">
        <v>507</v>
      </c>
    </row>
    <row r="46" spans="1:12" ht="15" customHeight="1" x14ac:dyDescent="0.45">
      <c r="B46" s="23" t="s">
        <v>364</v>
      </c>
      <c r="L46" s="77">
        <f>Assumptions!$D$8</f>
        <v>234379.2648</v>
      </c>
    </row>
    <row r="47" spans="1:12" ht="15" customHeight="1" x14ac:dyDescent="0.45">
      <c r="B47" s="23" t="s">
        <v>365</v>
      </c>
      <c r="L47" s="77">
        <f>-L34</f>
        <v>-18911.496592589861</v>
      </c>
    </row>
    <row r="48" spans="1:12" ht="15" customHeight="1" x14ac:dyDescent="0.45">
      <c r="B48" s="23" t="s">
        <v>366</v>
      </c>
      <c r="L48" s="77">
        <f>L46+L47</f>
        <v>215467.76820741015</v>
      </c>
    </row>
    <row r="49" spans="2:12" ht="15" customHeight="1" x14ac:dyDescent="0.45">
      <c r="B49" s="23" t="s">
        <v>367</v>
      </c>
      <c r="L49" s="77">
        <f>-L25</f>
        <v>-49631.062736252949</v>
      </c>
    </row>
    <row r="50" spans="2:12" ht="15" customHeight="1" x14ac:dyDescent="0.45">
      <c r="B50" s="23" t="s">
        <v>368</v>
      </c>
      <c r="L50" s="77">
        <f>L48+L49</f>
        <v>165836.70547115721</v>
      </c>
    </row>
    <row r="51" spans="2:12" ht="15" customHeight="1" x14ac:dyDescent="0.45">
      <c r="B51" s="23" t="s">
        <v>369</v>
      </c>
      <c r="L51" s="77">
        <f>L50/L21</f>
        <v>382008.86242545029</v>
      </c>
    </row>
    <row r="52" spans="2:12" ht="15" customHeight="1" x14ac:dyDescent="0.45">
      <c r="B52" s="19" t="s">
        <v>370</v>
      </c>
      <c r="L52" s="97">
        <f>(L51*L20-L14)/(L51+L14)</f>
        <v>6.6637126152489359E-2</v>
      </c>
    </row>
    <row r="53" spans="2:12" ht="15" customHeight="1" x14ac:dyDescent="0.45">
      <c r="B53" s="23" t="s">
        <v>371</v>
      </c>
      <c r="L53" s="95">
        <f>Assumptions!$D$60</f>
        <v>6.5000000000000002E-2</v>
      </c>
    </row>
    <row r="54" spans="2:12" ht="15" customHeight="1" x14ac:dyDescent="0.45">
      <c r="B54" s="23" t="s">
        <v>372</v>
      </c>
      <c r="L54" s="96">
        <v>0.105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7706"/>
    <pageSetUpPr fitToPage="1"/>
  </sheetPr>
  <dimension ref="A1:G32"/>
  <sheetViews>
    <sheetView showGridLines="0" zoomScaleNormal="100" workbookViewId="0">
      <selection activeCell="G26" sqref="G26"/>
    </sheetView>
  </sheetViews>
  <sheetFormatPr defaultColWidth="8.6640625" defaultRowHeight="14.25" x14ac:dyDescent="0.45"/>
  <cols>
    <col min="1" max="1" width="2.265625" style="72" customWidth="1"/>
    <col min="2" max="2" width="40" style="72" customWidth="1"/>
    <col min="3" max="3" width="30" style="72" customWidth="1"/>
    <col min="4" max="5" width="16" style="72" customWidth="1"/>
    <col min="6" max="6" width="19.265625" style="72" bestFit="1" customWidth="1"/>
    <col min="7" max="12" width="16" style="72" customWidth="1"/>
    <col min="13" max="16384" width="8.6640625" style="72"/>
  </cols>
  <sheetData>
    <row r="1" spans="1:7" ht="15" customHeight="1" x14ac:dyDescent="0.45">
      <c r="B1" s="73"/>
    </row>
    <row r="2" spans="1:7" ht="19.5" customHeight="1" x14ac:dyDescent="0.45">
      <c r="B2" s="15" t="s">
        <v>508</v>
      </c>
    </row>
    <row r="3" spans="1:7" ht="15" customHeight="1" x14ac:dyDescent="0.45">
      <c r="B3" s="16" t="s">
        <v>373</v>
      </c>
    </row>
    <row r="5" spans="1:7" ht="15" customHeight="1" x14ac:dyDescent="0.45">
      <c r="A5" s="72" t="s">
        <v>471</v>
      </c>
      <c r="B5" s="17" t="s">
        <v>374</v>
      </c>
      <c r="C5" s="17" t="s">
        <v>375</v>
      </c>
      <c r="D5" s="28" t="s">
        <v>376</v>
      </c>
      <c r="E5" s="28" t="s">
        <v>377</v>
      </c>
      <c r="F5" s="28" t="s">
        <v>378</v>
      </c>
      <c r="G5" s="28" t="s">
        <v>379</v>
      </c>
    </row>
    <row r="6" spans="1:7" ht="15" customHeight="1" x14ac:dyDescent="0.45">
      <c r="B6" s="23" t="s">
        <v>380</v>
      </c>
      <c r="C6" s="16" t="s">
        <v>381</v>
      </c>
      <c r="D6" s="25">
        <f>RevBuild!I12</f>
        <v>200312</v>
      </c>
      <c r="E6" s="102">
        <v>1.5</v>
      </c>
      <c r="F6" s="77">
        <f>D6*E6</f>
        <v>300468</v>
      </c>
      <c r="G6" s="27">
        <f>F6/$F$11</f>
        <v>0.61070829897462864</v>
      </c>
    </row>
    <row r="7" spans="1:7" ht="15" customHeight="1" x14ac:dyDescent="0.45">
      <c r="B7" s="23" t="s">
        <v>382</v>
      </c>
      <c r="C7" s="16" t="s">
        <v>383</v>
      </c>
      <c r="D7" s="25">
        <f>RevBuild!I25</f>
        <v>4837.3234761149988</v>
      </c>
      <c r="E7" s="102">
        <v>30</v>
      </c>
      <c r="F7" s="77">
        <f>D7*E7</f>
        <v>145119.70428344997</v>
      </c>
      <c r="G7" s="27">
        <f>F7/$F$11</f>
        <v>0.29495922278128406</v>
      </c>
    </row>
    <row r="8" spans="1:7" ht="15" customHeight="1" x14ac:dyDescent="0.45">
      <c r="B8" s="23" t="s">
        <v>384</v>
      </c>
      <c r="C8" s="16" t="s">
        <v>381</v>
      </c>
      <c r="D8" s="25">
        <f>RevBuild!I28</f>
        <v>28123.381440000001</v>
      </c>
      <c r="E8" s="102">
        <v>1</v>
      </c>
      <c r="F8" s="77">
        <f>D8*E8</f>
        <v>28123.381440000001</v>
      </c>
      <c r="G8" s="27">
        <f>F8/$F$11</f>
        <v>5.7161436294836859E-2</v>
      </c>
    </row>
    <row r="9" spans="1:7" ht="15" customHeight="1" x14ac:dyDescent="0.45">
      <c r="B9" s="23" t="s">
        <v>385</v>
      </c>
      <c r="C9" s="16" t="s">
        <v>386</v>
      </c>
      <c r="D9" s="25">
        <f>RevBuild!I31</f>
        <v>12192.082156799999</v>
      </c>
      <c r="E9" s="102">
        <v>1.5</v>
      </c>
      <c r="F9" s="77">
        <f>D9*E9</f>
        <v>18288.123235200001</v>
      </c>
      <c r="G9" s="27">
        <f>F9/$F$11</f>
        <v>3.7171041949250416E-2</v>
      </c>
    </row>
    <row r="10" spans="1:7" ht="15" customHeight="1" x14ac:dyDescent="0.45">
      <c r="B10" s="23" t="s">
        <v>387</v>
      </c>
      <c r="C10" s="16" t="s">
        <v>388</v>
      </c>
      <c r="D10" s="25">
        <f>RevBuild!I33</f>
        <v>1500</v>
      </c>
      <c r="E10" s="102">
        <v>0</v>
      </c>
      <c r="F10" s="77">
        <f>D10*E10</f>
        <v>0</v>
      </c>
      <c r="G10" s="27">
        <f>F10/$F$11</f>
        <v>0</v>
      </c>
    </row>
    <row r="11" spans="1:7" ht="15" customHeight="1" x14ac:dyDescent="0.45">
      <c r="B11" s="19" t="s">
        <v>389</v>
      </c>
      <c r="F11" s="101">
        <f>SUM(F6:F10)</f>
        <v>491999.20895865001</v>
      </c>
    </row>
    <row r="13" spans="1:7" ht="15" customHeight="1" x14ac:dyDescent="0.45">
      <c r="A13" s="72" t="s">
        <v>471</v>
      </c>
      <c r="B13" s="40" t="s">
        <v>390</v>
      </c>
    </row>
    <row r="14" spans="1:7" ht="15" customHeight="1" x14ac:dyDescent="0.45">
      <c r="B14" s="23" t="s">
        <v>391</v>
      </c>
      <c r="D14" s="79">
        <v>4</v>
      </c>
    </row>
    <row r="15" spans="1:7" ht="15" customHeight="1" x14ac:dyDescent="0.45">
      <c r="B15" s="23" t="s">
        <v>392</v>
      </c>
      <c r="D15" s="98">
        <f>Assumptions!$D$59</f>
        <v>0.12660168568962976</v>
      </c>
    </row>
    <row r="16" spans="1:7" ht="15" customHeight="1" x14ac:dyDescent="0.45">
      <c r="B16" s="23" t="s">
        <v>350</v>
      </c>
      <c r="D16" s="31">
        <f>1/(1+D15)^D14</f>
        <v>0.62075240828709066</v>
      </c>
    </row>
    <row r="17" spans="1:4" ht="15" customHeight="1" x14ac:dyDescent="0.45">
      <c r="B17" s="19" t="s">
        <v>393</v>
      </c>
      <c r="D17" s="100">
        <f>F11*D16</f>
        <v>305409.69383642555</v>
      </c>
    </row>
    <row r="19" spans="1:4" ht="15" customHeight="1" x14ac:dyDescent="0.45">
      <c r="B19" s="23" t="s">
        <v>394</v>
      </c>
      <c r="D19" s="25">
        <f>DCF!L34</f>
        <v>18911.496592589861</v>
      </c>
    </row>
    <row r="20" spans="1:4" ht="15" customHeight="1" x14ac:dyDescent="0.45">
      <c r="B20" s="19" t="s">
        <v>361</v>
      </c>
      <c r="D20" s="100">
        <f>D17+D19</f>
        <v>324321.19042901543</v>
      </c>
    </row>
    <row r="22" spans="1:4" ht="15" customHeight="1" x14ac:dyDescent="0.45">
      <c r="B22" s="23" t="s">
        <v>10</v>
      </c>
      <c r="D22" s="26">
        <f>Assumptions!$D$7</f>
        <v>965.04</v>
      </c>
    </row>
    <row r="24" spans="1:4" ht="15" customHeight="1" x14ac:dyDescent="0.45">
      <c r="B24" s="19" t="s">
        <v>509</v>
      </c>
      <c r="D24" s="103">
        <f>D20/D22</f>
        <v>336.07020478841855</v>
      </c>
    </row>
    <row r="25" spans="1:4" ht="15" customHeight="1" x14ac:dyDescent="0.45">
      <c r="B25" s="23" t="s">
        <v>363</v>
      </c>
      <c r="D25" s="22">
        <f>D24/Assumptions!$D$6-1</f>
        <v>0.38374523320467135</v>
      </c>
    </row>
    <row r="27" spans="1:4" ht="15" customHeight="1" x14ac:dyDescent="0.45">
      <c r="A27" s="72" t="s">
        <v>471</v>
      </c>
      <c r="B27" s="40" t="s">
        <v>510</v>
      </c>
    </row>
    <row r="28" spans="1:4" ht="15" customHeight="1" x14ac:dyDescent="0.45">
      <c r="B28" s="23" t="s">
        <v>395</v>
      </c>
      <c r="D28" s="104">
        <f>F6/RevBuild!I15</f>
        <v>1.6304347826086956</v>
      </c>
    </row>
    <row r="29" spans="1:4" ht="15" customHeight="1" x14ac:dyDescent="0.45">
      <c r="B29" s="23" t="s">
        <v>396</v>
      </c>
      <c r="D29" s="104">
        <f>F6/RevBuild!I17</f>
        <v>29.411764705882359</v>
      </c>
    </row>
    <row r="30" spans="1:4" ht="15" customHeight="1" x14ac:dyDescent="0.45">
      <c r="B30" s="23" t="s">
        <v>397</v>
      </c>
      <c r="D30" s="104">
        <f>F7/RevBuild!I20</f>
        <v>2.13</v>
      </c>
    </row>
    <row r="31" spans="1:4" ht="15" customHeight="1" x14ac:dyDescent="0.45">
      <c r="B31" s="23" t="s">
        <v>398</v>
      </c>
      <c r="D31" s="36">
        <f>Comps!H7</f>
        <v>3.5333837055549906</v>
      </c>
    </row>
    <row r="32" spans="1:4" ht="15" customHeight="1" x14ac:dyDescent="0.45">
      <c r="B32" s="23" t="s">
        <v>399</v>
      </c>
      <c r="D32" s="27">
        <f>G6</f>
        <v>0.61070829897462864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2937"/>
    <pageSetUpPr fitToPage="1"/>
  </sheetPr>
  <dimension ref="A1:J22"/>
  <sheetViews>
    <sheetView showGridLines="0" zoomScaleNormal="100" workbookViewId="0">
      <selection activeCell="B7" sqref="B7"/>
    </sheetView>
  </sheetViews>
  <sheetFormatPr defaultColWidth="8.6640625" defaultRowHeight="14.25" x14ac:dyDescent="0.45"/>
  <cols>
    <col min="1" max="1" width="3.1328125" style="72" customWidth="1"/>
    <col min="2" max="2" width="34" style="72" customWidth="1"/>
    <col min="3" max="10" width="15" style="72" customWidth="1"/>
    <col min="11" max="12" width="14" style="72" customWidth="1"/>
    <col min="13" max="16384" width="8.6640625" style="72"/>
  </cols>
  <sheetData>
    <row r="1" spans="1:10" ht="15" customHeight="1" x14ac:dyDescent="0.45">
      <c r="B1" s="73"/>
    </row>
    <row r="2" spans="1:10" ht="19.5" customHeight="1" x14ac:dyDescent="0.45">
      <c r="B2" s="15" t="s">
        <v>511</v>
      </c>
    </row>
    <row r="3" spans="1:10" ht="15" customHeight="1" x14ac:dyDescent="0.45">
      <c r="B3" s="16" t="s">
        <v>512</v>
      </c>
    </row>
    <row r="5" spans="1:10" ht="15" customHeight="1" x14ac:dyDescent="0.45">
      <c r="A5" s="72" t="s">
        <v>471</v>
      </c>
      <c r="B5" s="17" t="s">
        <v>400</v>
      </c>
      <c r="C5" s="28" t="s">
        <v>401</v>
      </c>
      <c r="D5" s="28" t="s">
        <v>402</v>
      </c>
      <c r="E5" s="28" t="s">
        <v>403</v>
      </c>
      <c r="F5" s="28" t="s">
        <v>404</v>
      </c>
      <c r="G5" s="28" t="s">
        <v>405</v>
      </c>
      <c r="H5" s="28" t="s">
        <v>386</v>
      </c>
      <c r="I5" s="28" t="s">
        <v>406</v>
      </c>
      <c r="J5" s="28" t="s">
        <v>407</v>
      </c>
    </row>
    <row r="6" spans="1:10" ht="15" customHeight="1" x14ac:dyDescent="0.45">
      <c r="B6" s="23" t="s">
        <v>316</v>
      </c>
      <c r="C6" s="82">
        <v>302</v>
      </c>
      <c r="D6" s="79">
        <v>83352</v>
      </c>
      <c r="E6" s="79">
        <v>15500</v>
      </c>
      <c r="F6" s="77">
        <f>D6-E6</f>
        <v>67852</v>
      </c>
      <c r="G6" s="79">
        <v>21081</v>
      </c>
      <c r="H6" s="104">
        <f>F6/G6</f>
        <v>3.2186328921777903</v>
      </c>
      <c r="I6" s="24">
        <v>-0.155</v>
      </c>
      <c r="J6" s="24">
        <v>0.52</v>
      </c>
    </row>
    <row r="7" spans="1:10" ht="15" customHeight="1" x14ac:dyDescent="0.45">
      <c r="B7" s="23" t="s">
        <v>317</v>
      </c>
      <c r="C7" s="82">
        <v>3783</v>
      </c>
      <c r="D7" s="79">
        <v>246171</v>
      </c>
      <c r="E7" s="79">
        <v>3000</v>
      </c>
      <c r="F7" s="77">
        <f>D7-E7</f>
        <v>243171</v>
      </c>
      <c r="G7" s="79">
        <v>68821</v>
      </c>
      <c r="H7" s="104">
        <f>F7/G7</f>
        <v>3.5333837055549906</v>
      </c>
      <c r="I7" s="24">
        <v>0.08</v>
      </c>
      <c r="J7" s="24">
        <v>0.16</v>
      </c>
    </row>
    <row r="8" spans="1:10" ht="15" customHeight="1" x14ac:dyDescent="0.45">
      <c r="B8" s="105" t="s">
        <v>513</v>
      </c>
      <c r="D8" s="79">
        <v>63000</v>
      </c>
    </row>
    <row r="9" spans="1:10" ht="15" customHeight="1" x14ac:dyDescent="0.45">
      <c r="B9" s="19" t="s">
        <v>408</v>
      </c>
      <c r="C9" s="106">
        <f>Assumptions!$D$6</f>
        <v>242.87</v>
      </c>
      <c r="D9" s="107">
        <f>Assumptions!$D$8</f>
        <v>234379.2648</v>
      </c>
      <c r="E9" s="107">
        <f>Model!E94</f>
        <v>18911.496592589861</v>
      </c>
      <c r="F9" s="108">
        <f>D9-E9</f>
        <v>215467.76820741015</v>
      </c>
      <c r="G9" s="107">
        <f>Model!E7</f>
        <v>54670.182091499999</v>
      </c>
      <c r="H9" s="109">
        <f>F9/G9</f>
        <v>3.9412301178508531</v>
      </c>
      <c r="I9" s="22">
        <f>Model!E23/Model!E7</f>
        <v>2.4820381560627235E-2</v>
      </c>
      <c r="J9" s="22">
        <f>Model!E8</f>
        <v>1.7008651429035466</v>
      </c>
    </row>
    <row r="10" spans="1:10" ht="15" customHeight="1" x14ac:dyDescent="0.45">
      <c r="B10" s="23" t="s">
        <v>409</v>
      </c>
      <c r="H10" s="27">
        <f>H9/H7-1</f>
        <v>0.11542658434029374</v>
      </c>
    </row>
    <row r="12" spans="1:10" ht="15" customHeight="1" x14ac:dyDescent="0.45">
      <c r="A12" s="72" t="s">
        <v>471</v>
      </c>
      <c r="B12" s="40" t="s">
        <v>514</v>
      </c>
    </row>
    <row r="13" spans="1:10" ht="15" customHeight="1" x14ac:dyDescent="0.45">
      <c r="B13" s="23" t="s">
        <v>410</v>
      </c>
      <c r="D13" s="104">
        <f>F9/RevBuild!F43</f>
        <v>1.5455800429485194</v>
      </c>
    </row>
    <row r="14" spans="1:10" ht="15" customHeight="1" x14ac:dyDescent="0.45">
      <c r="B14" s="23" t="s">
        <v>411</v>
      </c>
      <c r="D14" s="104">
        <f>F6/78000</f>
        <v>0.86989743589743584</v>
      </c>
    </row>
    <row r="15" spans="1:10" ht="15" customHeight="1" x14ac:dyDescent="0.45">
      <c r="B15" s="23" t="s">
        <v>412</v>
      </c>
      <c r="D15" s="27">
        <f>D13/D14-1</f>
        <v>0.77673824426670568</v>
      </c>
    </row>
    <row r="17" spans="1:4" ht="15" customHeight="1" x14ac:dyDescent="0.45">
      <c r="A17" s="72" t="s">
        <v>471</v>
      </c>
      <c r="B17" s="40" t="s">
        <v>515</v>
      </c>
    </row>
    <row r="18" spans="1:4" ht="15" customHeight="1" x14ac:dyDescent="0.45">
      <c r="B18" s="23" t="s">
        <v>413</v>
      </c>
      <c r="D18" s="25">
        <f>RevBuild!F43</f>
        <v>139409</v>
      </c>
    </row>
    <row r="19" spans="1:4" ht="15" customHeight="1" x14ac:dyDescent="0.45">
      <c r="B19" s="23" t="s">
        <v>414</v>
      </c>
      <c r="D19" s="102">
        <v>2.1</v>
      </c>
    </row>
    <row r="20" spans="1:4" ht="15" customHeight="1" x14ac:dyDescent="0.45">
      <c r="B20" s="23" t="s">
        <v>415</v>
      </c>
      <c r="D20" s="77">
        <f>D18*D19</f>
        <v>292758.90000000002</v>
      </c>
    </row>
    <row r="21" spans="1:4" ht="15" customHeight="1" x14ac:dyDescent="0.45">
      <c r="B21" s="23" t="s">
        <v>416</v>
      </c>
      <c r="D21" s="25">
        <f>Model!E94</f>
        <v>18911.496592589861</v>
      </c>
    </row>
    <row r="22" spans="1:4" ht="15" customHeight="1" x14ac:dyDescent="0.45">
      <c r="B22" s="19" t="s">
        <v>516</v>
      </c>
      <c r="D22" s="103">
        <f>(D20+D21)/Assumptions!$D$7</f>
        <v>322.96111725170971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2937"/>
    <pageSetUpPr fitToPage="1"/>
  </sheetPr>
  <dimension ref="A1:K44"/>
  <sheetViews>
    <sheetView showGridLines="0"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B45" sqref="B45"/>
    </sheetView>
  </sheetViews>
  <sheetFormatPr defaultColWidth="8.6640625" defaultRowHeight="14.25" x14ac:dyDescent="0.45"/>
  <cols>
    <col min="1" max="1" width="2.9296875" style="72" customWidth="1"/>
    <col min="2" max="2" width="52" style="72" customWidth="1"/>
    <col min="3" max="3" width="11" style="72" customWidth="1"/>
    <col min="4" max="10" width="13" style="72" customWidth="1"/>
    <col min="11" max="11" width="15" style="72" customWidth="1"/>
    <col min="12" max="12" width="13" style="72" customWidth="1"/>
    <col min="13" max="16384" width="8.6640625" style="72"/>
  </cols>
  <sheetData>
    <row r="1" spans="1:11" ht="15" customHeight="1" x14ac:dyDescent="0.45">
      <c r="B1" s="73" t="s">
        <v>0</v>
      </c>
    </row>
    <row r="2" spans="1:11" ht="19.5" customHeight="1" x14ac:dyDescent="0.45">
      <c r="B2" s="15" t="s">
        <v>517</v>
      </c>
    </row>
    <row r="3" spans="1:11" ht="15" customHeight="1" x14ac:dyDescent="0.45">
      <c r="B3" s="16" t="s">
        <v>518</v>
      </c>
    </row>
    <row r="5" spans="1:11" ht="15" customHeight="1" x14ac:dyDescent="0.45">
      <c r="A5" s="72" t="s">
        <v>471</v>
      </c>
      <c r="B5" s="17" t="s">
        <v>417</v>
      </c>
      <c r="C5" s="28" t="s">
        <v>48</v>
      </c>
      <c r="D5" s="28" t="s">
        <v>26</v>
      </c>
      <c r="E5" s="28" t="s">
        <v>27</v>
      </c>
      <c r="F5" s="28" t="s">
        <v>28</v>
      </c>
      <c r="G5" s="28" t="s">
        <v>49</v>
      </c>
      <c r="H5" s="28" t="s">
        <v>50</v>
      </c>
      <c r="I5" s="28" t="s">
        <v>51</v>
      </c>
      <c r="J5" s="28" t="s">
        <v>52</v>
      </c>
      <c r="K5" s="28" t="s">
        <v>418</v>
      </c>
    </row>
    <row r="6" spans="1:11" ht="15" customHeight="1" x14ac:dyDescent="0.45">
      <c r="A6" s="72" t="s">
        <v>471</v>
      </c>
      <c r="B6" s="40" t="s">
        <v>519</v>
      </c>
    </row>
    <row r="7" spans="1:11" ht="15" customHeight="1" x14ac:dyDescent="0.45">
      <c r="B7" s="23" t="s">
        <v>419</v>
      </c>
      <c r="C7" s="74" t="s">
        <v>64</v>
      </c>
      <c r="D7" s="80">
        <v>3600</v>
      </c>
      <c r="E7" s="80">
        <v>4900</v>
      </c>
      <c r="F7" s="80">
        <v>6200</v>
      </c>
      <c r="G7" s="80">
        <v>7300</v>
      </c>
      <c r="H7" s="80">
        <v>8200</v>
      </c>
      <c r="I7" s="80">
        <v>9000</v>
      </c>
      <c r="J7" s="80">
        <v>9600</v>
      </c>
    </row>
    <row r="8" spans="1:11" ht="15" customHeight="1" x14ac:dyDescent="0.45">
      <c r="B8" s="23" t="s">
        <v>214</v>
      </c>
      <c r="C8" s="74" t="s">
        <v>66</v>
      </c>
      <c r="D8" s="81">
        <v>8.9</v>
      </c>
      <c r="E8" s="81">
        <v>9.9</v>
      </c>
      <c r="F8" s="81">
        <v>10.9</v>
      </c>
      <c r="G8" s="81">
        <v>11.8</v>
      </c>
      <c r="H8" s="81">
        <v>12.6</v>
      </c>
      <c r="I8" s="81">
        <v>13.3</v>
      </c>
      <c r="J8" s="81">
        <v>13.9</v>
      </c>
    </row>
    <row r="9" spans="1:11" ht="15" customHeight="1" x14ac:dyDescent="0.45">
      <c r="B9" s="23" t="s">
        <v>420</v>
      </c>
      <c r="C9" s="74" t="s">
        <v>59</v>
      </c>
      <c r="D9" s="77">
        <f>(Assumptions!$E$14+D7)/2*365*D8/100</f>
        <v>95830.75</v>
      </c>
      <c r="E9" s="77">
        <f t="shared" ref="E9:J9" si="0">(D7+E7)/2*365*E8/100</f>
        <v>153573.75</v>
      </c>
      <c r="F9" s="77">
        <f t="shared" si="0"/>
        <v>220806.75</v>
      </c>
      <c r="G9" s="77">
        <f t="shared" si="0"/>
        <v>290722.5</v>
      </c>
      <c r="H9" s="77">
        <f t="shared" si="0"/>
        <v>356422.5</v>
      </c>
      <c r="I9" s="77">
        <f t="shared" si="0"/>
        <v>417487</v>
      </c>
      <c r="J9" s="77">
        <f t="shared" si="0"/>
        <v>471835.5</v>
      </c>
    </row>
    <row r="10" spans="1:11" ht="15" customHeight="1" x14ac:dyDescent="0.45">
      <c r="B10" s="23" t="s">
        <v>421</v>
      </c>
      <c r="C10" s="74" t="s">
        <v>68</v>
      </c>
      <c r="D10" s="30">
        <v>2.4E-2</v>
      </c>
      <c r="E10" s="30">
        <v>0.04</v>
      </c>
      <c r="F10" s="30">
        <v>5.1999999999999998E-2</v>
      </c>
      <c r="G10" s="30">
        <v>5.8999999999999997E-2</v>
      </c>
      <c r="H10" s="30">
        <v>6.3E-2</v>
      </c>
      <c r="I10" s="30">
        <v>6.5000000000000002E-2</v>
      </c>
      <c r="J10" s="30">
        <v>6.5000000000000002E-2</v>
      </c>
    </row>
    <row r="11" spans="1:11" ht="15" customHeight="1" x14ac:dyDescent="0.45">
      <c r="B11" s="19" t="s">
        <v>422</v>
      </c>
      <c r="C11" s="74" t="s">
        <v>59</v>
      </c>
      <c r="D11" s="100">
        <f>D9*D10+(RevBuild!F45-RevBuild!F17)</f>
        <v>4670.2331999999988</v>
      </c>
      <c r="E11" s="100">
        <f>E9*E10+(RevBuild!G45-RevBuild!G17)</f>
        <v>9789.9211599999981</v>
      </c>
      <c r="F11" s="100">
        <f>F9*F10+(RevBuild!H45-RevBuild!H17)</f>
        <v>16518.167600399996</v>
      </c>
      <c r="G11" s="100">
        <f>G9*G10+(RevBuild!I45-RevBuild!I17)</f>
        <v>23833.803334386997</v>
      </c>
      <c r="H11" s="100">
        <f>H9*H10+(RevBuild!J45-RevBuild!J17)</f>
        <v>30425.959351361787</v>
      </c>
      <c r="I11" s="100">
        <f>I9*I10+(RevBuild!K45-RevBuild!K17)</f>
        <v>36326.651428013472</v>
      </c>
      <c r="J11" s="100">
        <f>J9*J10+(RevBuild!L45-RevBuild!L17)</f>
        <v>40891.273065943227</v>
      </c>
    </row>
    <row r="12" spans="1:11" ht="15" customHeight="1" x14ac:dyDescent="0.45">
      <c r="B12" s="23" t="s">
        <v>423</v>
      </c>
      <c r="C12" s="74" t="s">
        <v>59</v>
      </c>
      <c r="D12" s="77">
        <f>DCF!F14*D11/RevBuild!F45</f>
        <v>3687.09592087175</v>
      </c>
      <c r="E12" s="77">
        <f>DCF!G14*E11/RevBuild!G45</f>
        <v>7457.1968872067109</v>
      </c>
      <c r="F12" s="77">
        <f>DCF!H14*F11/RevBuild!H45</f>
        <v>13284.945117491267</v>
      </c>
      <c r="G12" s="77">
        <f>DCF!I14*G11/RevBuild!I45</f>
        <v>18642.006586503863</v>
      </c>
      <c r="H12" s="77">
        <f>DCF!J14*H11/RevBuild!J45</f>
        <v>22731.032114475234</v>
      </c>
      <c r="I12" s="77">
        <f>DCF!K14*I11/RevBuild!K45</f>
        <v>26942.582411707288</v>
      </c>
      <c r="J12" s="77">
        <f>DCF!L14*J11/RevBuild!L45</f>
        <v>30122.037741435659</v>
      </c>
    </row>
    <row r="13" spans="1:11" ht="15" customHeight="1" x14ac:dyDescent="0.45">
      <c r="B13" s="23" t="s">
        <v>424</v>
      </c>
      <c r="D13" s="94">
        <v>0.11600000000000001</v>
      </c>
      <c r="E13" s="94">
        <v>7.0000000000000007E-2</v>
      </c>
      <c r="K13" s="21">
        <f>(D12/(1+$D$13)^1+E12/(1+$D$13)^2+F12/(1+$D$13)^3+G12/(1+$D$13)^4+H12/(1+$D$13)^5+I12/(1+$D$13)^6+J12/(1+$D$13)^7+J12*(1+$E$13)/($D$13-$E$13)/(1+$D$13)^7+DCF!$L$34)/DCF!$L$38</f>
        <v>430.87393701876937</v>
      </c>
    </row>
    <row r="14" spans="1:11" ht="15" customHeight="1" x14ac:dyDescent="0.45">
      <c r="B14" s="23" t="s">
        <v>425</v>
      </c>
      <c r="K14" s="22">
        <f>K13/Assumptions!$D$6-1</f>
        <v>0.77409287692497775</v>
      </c>
    </row>
    <row r="16" spans="1:11" ht="15" customHeight="1" x14ac:dyDescent="0.45">
      <c r="A16" s="72" t="s">
        <v>471</v>
      </c>
      <c r="B16" s="40" t="s">
        <v>520</v>
      </c>
    </row>
    <row r="17" spans="1:11" ht="15" customHeight="1" x14ac:dyDescent="0.45">
      <c r="B17" s="23" t="s">
        <v>419</v>
      </c>
      <c r="C17" s="74" t="s">
        <v>64</v>
      </c>
      <c r="D17" s="25">
        <f>Assumptions!F14</f>
        <v>3300</v>
      </c>
      <c r="E17" s="25">
        <f>Assumptions!G14</f>
        <v>4300</v>
      </c>
      <c r="F17" s="25">
        <f>Assumptions!H14</f>
        <v>5200</v>
      </c>
      <c r="G17" s="25">
        <f>Assumptions!I14</f>
        <v>6000</v>
      </c>
      <c r="H17" s="25">
        <f>Assumptions!J14</f>
        <v>6700</v>
      </c>
      <c r="I17" s="25">
        <f>Assumptions!K14</f>
        <v>7300</v>
      </c>
      <c r="J17" s="25">
        <f>Assumptions!L14</f>
        <v>7800</v>
      </c>
    </row>
    <row r="18" spans="1:11" ht="15" customHeight="1" x14ac:dyDescent="0.45">
      <c r="B18" s="23" t="s">
        <v>214</v>
      </c>
      <c r="C18" s="74" t="s">
        <v>66</v>
      </c>
      <c r="D18" s="35">
        <f>Assumptions!F15</f>
        <v>7.9</v>
      </c>
      <c r="E18" s="35">
        <f>Assumptions!G15</f>
        <v>8.5</v>
      </c>
      <c r="F18" s="35">
        <f>Assumptions!H15</f>
        <v>9.15</v>
      </c>
      <c r="G18" s="35">
        <f>Assumptions!I15</f>
        <v>9.8000000000000007</v>
      </c>
      <c r="H18" s="35">
        <f>Assumptions!J15</f>
        <v>10.4</v>
      </c>
      <c r="I18" s="35">
        <f>Assumptions!K15</f>
        <v>10.95</v>
      </c>
      <c r="J18" s="35">
        <f>Assumptions!L15</f>
        <v>11.45</v>
      </c>
    </row>
    <row r="19" spans="1:11" ht="15" customHeight="1" x14ac:dyDescent="0.45">
      <c r="B19" s="23" t="s">
        <v>420</v>
      </c>
      <c r="C19" s="74" t="s">
        <v>59</v>
      </c>
      <c r="D19" s="77">
        <f>(Assumptions!$E$14+D17)/2*365*D18/100</f>
        <v>80738</v>
      </c>
      <c r="E19" s="77">
        <f t="shared" ref="E19:J19" si="1">(D17+E17)/2*365*E18/100</f>
        <v>117895</v>
      </c>
      <c r="F19" s="77">
        <f t="shared" si="1"/>
        <v>158638.125</v>
      </c>
      <c r="G19" s="77">
        <f t="shared" si="1"/>
        <v>200312</v>
      </c>
      <c r="H19" s="77">
        <f t="shared" si="1"/>
        <v>241046</v>
      </c>
      <c r="I19" s="77">
        <f t="shared" si="1"/>
        <v>279772.5</v>
      </c>
      <c r="J19" s="77">
        <f t="shared" si="1"/>
        <v>315533.37499999994</v>
      </c>
    </row>
    <row r="20" spans="1:11" ht="15" customHeight="1" x14ac:dyDescent="0.45">
      <c r="B20" s="23" t="s">
        <v>421</v>
      </c>
      <c r="C20" s="74" t="s">
        <v>68</v>
      </c>
      <c r="D20" s="34">
        <f>Assumptions!F17</f>
        <v>0.02</v>
      </c>
      <c r="E20" s="34">
        <f>Assumptions!G17</f>
        <v>3.4000000000000002E-2</v>
      </c>
      <c r="F20" s="34">
        <f>Assumptions!H17</f>
        <v>4.3999999999999997E-2</v>
      </c>
      <c r="G20" s="34">
        <f>Assumptions!I17</f>
        <v>5.0999999999999997E-2</v>
      </c>
      <c r="H20" s="34">
        <f>Assumptions!J17</f>
        <v>5.5E-2</v>
      </c>
      <c r="I20" s="34">
        <f>Assumptions!K17</f>
        <v>5.8000000000000003E-2</v>
      </c>
      <c r="J20" s="34">
        <f>Assumptions!L17</f>
        <v>0.06</v>
      </c>
    </row>
    <row r="21" spans="1:11" ht="15" customHeight="1" x14ac:dyDescent="0.45">
      <c r="B21" s="19" t="s">
        <v>422</v>
      </c>
      <c r="C21" s="74" t="s">
        <v>59</v>
      </c>
      <c r="D21" s="100">
        <f>D19*D20+(RevBuild!F45-RevBuild!F17)</f>
        <v>3985.0551999999989</v>
      </c>
      <c r="E21" s="100">
        <f>E19*E20+(RevBuild!G45-RevBuild!G17)</f>
        <v>7655.4011599999994</v>
      </c>
      <c r="F21" s="100">
        <f>F19*F20+(RevBuild!H45-RevBuild!H17)</f>
        <v>12016.294100399999</v>
      </c>
      <c r="G21" s="100">
        <f>G19*G20+(RevBuild!I45-RevBuild!I17)</f>
        <v>16897.087834386999</v>
      </c>
      <c r="H21" s="100">
        <f>H19*H20+(RevBuild!J45-RevBuild!J17)</f>
        <v>21228.871851361786</v>
      </c>
      <c r="I21" s="100">
        <f>I19*I20+(RevBuild!K45-RevBuild!K17)</f>
        <v>25416.801428013474</v>
      </c>
      <c r="J21" s="100">
        <f>J19*J20+(RevBuild!L45-RevBuild!L17)</f>
        <v>29153.96806594322</v>
      </c>
    </row>
    <row r="22" spans="1:11" ht="15" customHeight="1" x14ac:dyDescent="0.45">
      <c r="B22" s="23" t="s">
        <v>423</v>
      </c>
      <c r="C22" s="74" t="s">
        <v>59</v>
      </c>
      <c r="D22" s="77">
        <f>DCF!F14*D21/RevBuild!F45</f>
        <v>3146.1556935462572</v>
      </c>
      <c r="E22" s="77">
        <f>DCF!G14*E21/RevBuild!G45</f>
        <v>5831.2863574348385</v>
      </c>
      <c r="F22" s="77">
        <f>DCF!H14*F21/RevBuild!H45</f>
        <v>9664.2564418333186</v>
      </c>
      <c r="G22" s="77">
        <f>DCF!I14*G21/RevBuild!I45</f>
        <v>13216.33892341918</v>
      </c>
      <c r="H22" s="77">
        <f>DCF!J14*H21/RevBuild!J45</f>
        <v>15859.949138655054</v>
      </c>
      <c r="I22" s="77">
        <f>DCF!K14*I21/RevBuild!K45</f>
        <v>18851.015444494566</v>
      </c>
      <c r="J22" s="77">
        <f>DCF!L14*J21/RevBuild!L45</f>
        <v>21475.900859793761</v>
      </c>
    </row>
    <row r="23" spans="1:11" ht="15" customHeight="1" x14ac:dyDescent="0.45">
      <c r="B23" s="23" t="s">
        <v>424</v>
      </c>
      <c r="D23" s="95">
        <f>Assumptions!$D$59</f>
        <v>0.12660168568962976</v>
      </c>
      <c r="E23" s="95">
        <f>Assumptions!$D$60</f>
        <v>6.5000000000000002E-2</v>
      </c>
      <c r="K23" s="21">
        <f>(D22/(1+$D$23)^1+E22/(1+$D$23)^2+F22/(1+$D$23)^3+G22/(1+$D$23)^4+H22/(1+$D$23)^5+I22/(1+$D$23)^6+J22/(1+$D$23)^7+J22*(1+$E$23)/($D$23-$E$23)/(1+$D$23)^7+DCF!$L$34)/DCF!$L$38</f>
        <v>238.04631880220461</v>
      </c>
    </row>
    <row r="24" spans="1:11" ht="15" customHeight="1" x14ac:dyDescent="0.45">
      <c r="B24" s="23" t="s">
        <v>425</v>
      </c>
      <c r="K24" s="22">
        <f>K23/Assumptions!$D$6-1</f>
        <v>-1.9861165223351573E-2</v>
      </c>
    </row>
    <row r="26" spans="1:11" ht="15" customHeight="1" x14ac:dyDescent="0.45">
      <c r="A26" s="72" t="s">
        <v>471</v>
      </c>
      <c r="B26" s="40" t="s">
        <v>521</v>
      </c>
    </row>
    <row r="27" spans="1:11" ht="15" customHeight="1" x14ac:dyDescent="0.45">
      <c r="B27" s="23" t="s">
        <v>419</v>
      </c>
      <c r="C27" s="74" t="s">
        <v>64</v>
      </c>
      <c r="D27" s="80">
        <v>3000</v>
      </c>
      <c r="E27" s="80">
        <v>3600</v>
      </c>
      <c r="F27" s="80">
        <v>4100</v>
      </c>
      <c r="G27" s="80">
        <v>4500</v>
      </c>
      <c r="H27" s="80">
        <v>4800</v>
      </c>
      <c r="I27" s="80">
        <v>5000</v>
      </c>
      <c r="J27" s="80">
        <v>5150</v>
      </c>
    </row>
    <row r="28" spans="1:11" ht="15" customHeight="1" x14ac:dyDescent="0.45">
      <c r="B28" s="23" t="s">
        <v>214</v>
      </c>
      <c r="C28" s="74" t="s">
        <v>66</v>
      </c>
      <c r="D28" s="81">
        <v>8.1999999999999993</v>
      </c>
      <c r="E28" s="81">
        <v>8.4</v>
      </c>
      <c r="F28" s="81">
        <v>8.6999999999999993</v>
      </c>
      <c r="G28" s="81">
        <v>9</v>
      </c>
      <c r="H28" s="81">
        <v>9.3000000000000007</v>
      </c>
      <c r="I28" s="81">
        <v>9.5500000000000007</v>
      </c>
      <c r="J28" s="81">
        <v>9.8000000000000007</v>
      </c>
    </row>
    <row r="29" spans="1:11" ht="15" customHeight="1" x14ac:dyDescent="0.45">
      <c r="B29" s="23" t="s">
        <v>420</v>
      </c>
      <c r="C29" s="74" t="s">
        <v>59</v>
      </c>
      <c r="D29" s="77">
        <f>(Assumptions!$E$14+D27)/2*365*D28/100</f>
        <v>79314.499999999985</v>
      </c>
      <c r="E29" s="77">
        <f t="shared" ref="E29:J29" si="2">(D27+E27)/2*365*E28/100</f>
        <v>101178</v>
      </c>
      <c r="F29" s="77">
        <f t="shared" si="2"/>
        <v>122256.74999999999</v>
      </c>
      <c r="G29" s="77">
        <f t="shared" si="2"/>
        <v>141255</v>
      </c>
      <c r="H29" s="77">
        <f t="shared" si="2"/>
        <v>157844.25000000003</v>
      </c>
      <c r="I29" s="77">
        <f t="shared" si="2"/>
        <v>170801.75</v>
      </c>
      <c r="J29" s="77">
        <f t="shared" si="2"/>
        <v>181532.75</v>
      </c>
    </row>
    <row r="30" spans="1:11" ht="15" customHeight="1" x14ac:dyDescent="0.45">
      <c r="B30" s="23" t="s">
        <v>421</v>
      </c>
      <c r="C30" s="74" t="s">
        <v>68</v>
      </c>
      <c r="D30" s="30">
        <v>8.0000000000000002E-3</v>
      </c>
      <c r="E30" s="30">
        <v>1.4999999999999999E-2</v>
      </c>
      <c r="F30" s="30">
        <v>2.1999999999999999E-2</v>
      </c>
      <c r="G30" s="30">
        <v>2.8000000000000001E-2</v>
      </c>
      <c r="H30" s="30">
        <v>3.2000000000000001E-2</v>
      </c>
      <c r="I30" s="30">
        <v>3.5000000000000003E-2</v>
      </c>
      <c r="J30" s="30">
        <v>3.5999999999999997E-2</v>
      </c>
    </row>
    <row r="31" spans="1:11" ht="15" customHeight="1" x14ac:dyDescent="0.45">
      <c r="B31" s="19" t="s">
        <v>422</v>
      </c>
      <c r="C31" s="74" t="s">
        <v>59</v>
      </c>
      <c r="D31" s="100">
        <f>D29*D30+(RevBuild!F45-RevBuild!F17)</f>
        <v>3004.8111999999983</v>
      </c>
      <c r="E31" s="100">
        <f>E29*E30+(RevBuild!G45-RevBuild!G17)</f>
        <v>5164.6411599999992</v>
      </c>
      <c r="F31" s="100">
        <f>F29*F30+(RevBuild!H45-RevBuild!H17)</f>
        <v>7725.8651003999985</v>
      </c>
      <c r="G31" s="100">
        <f>G29*G30+(RevBuild!I45-RevBuild!I17)</f>
        <v>10636.315834387</v>
      </c>
      <c r="H31" s="100">
        <f>H29*H30+(RevBuild!J45-RevBuild!J17)</f>
        <v>13022.357851361787</v>
      </c>
      <c r="I31" s="100">
        <f>I29*I30+(RevBuild!K45-RevBuild!K17)</f>
        <v>15168.057678013474</v>
      </c>
      <c r="J31" s="100">
        <f>J29*J30+(RevBuild!L45-RevBuild!L17)</f>
        <v>16757.144565943225</v>
      </c>
    </row>
    <row r="32" spans="1:11" ht="15" customHeight="1" x14ac:dyDescent="0.45">
      <c r="B32" s="23" t="s">
        <v>423</v>
      </c>
      <c r="C32" s="74" t="s">
        <v>59</v>
      </c>
      <c r="D32" s="77">
        <f>DCF!F14*D31/RevBuild!F45</f>
        <v>2372.2642198059289</v>
      </c>
      <c r="E32" s="77">
        <f>DCF!G14*E31/RevBuild!G45</f>
        <v>3934.0200347325022</v>
      </c>
      <c r="F32" s="77">
        <f>DCF!H14*F31/RevBuild!H45</f>
        <v>6213.6246784098321</v>
      </c>
      <c r="G32" s="77">
        <f>DCF!I14*G31/RevBuild!I45</f>
        <v>8319.3717368096077</v>
      </c>
      <c r="H32" s="77">
        <f>DCF!J14*H31/RevBuild!J45</f>
        <v>9728.9170443936964</v>
      </c>
      <c r="I32" s="77">
        <f>DCF!K14*I31/RevBuild!K45</f>
        <v>11249.77469572828</v>
      </c>
      <c r="J32" s="77">
        <f>DCF!L14*J31/RevBuild!L45</f>
        <v>12343.938038809312</v>
      </c>
    </row>
    <row r="33" spans="1:11" ht="15" customHeight="1" x14ac:dyDescent="0.45">
      <c r="B33" s="23" t="s">
        <v>424</v>
      </c>
      <c r="D33" s="94">
        <v>0.13600000000000001</v>
      </c>
      <c r="E33" s="94">
        <v>0.06</v>
      </c>
      <c r="K33" s="21">
        <f>(D32/(1+$D$33)^1+E32/(1+$D$33)^2+F32/(1+$D$33)^3+G32/(1+$D$33)^4+H32/(1+$D$33)^5+I32/(1+$D$33)^6+J32/(1+$D$33)^7+J32*(1+$E$33)/($D$33-$E$33)/(1+$D$33)^7+DCF!$L$34)/DCF!$L$38</f>
        <v>123.55212776093292</v>
      </c>
    </row>
    <row r="34" spans="1:11" ht="15" customHeight="1" x14ac:dyDescent="0.45">
      <c r="B34" s="23" t="s">
        <v>425</v>
      </c>
      <c r="K34" s="22">
        <f>K33/Assumptions!$D$6-1</f>
        <v>-0.49128287659680936</v>
      </c>
    </row>
    <row r="36" spans="1:11" ht="15" customHeight="1" x14ac:dyDescent="0.45">
      <c r="A36" s="72" t="s">
        <v>471</v>
      </c>
      <c r="B36" s="40" t="s">
        <v>426</v>
      </c>
    </row>
    <row r="37" spans="1:11" ht="15" customHeight="1" x14ac:dyDescent="0.45">
      <c r="D37" s="28" t="s">
        <v>15</v>
      </c>
      <c r="E37" s="28" t="s">
        <v>427</v>
      </c>
      <c r="F37" s="28" t="s">
        <v>428</v>
      </c>
      <c r="G37" s="28" t="s">
        <v>429</v>
      </c>
    </row>
    <row r="38" spans="1:11" ht="15" customHeight="1" x14ac:dyDescent="0.45">
      <c r="B38" s="19" t="s">
        <v>430</v>
      </c>
      <c r="D38" s="110">
        <f>K13</f>
        <v>430.87393701876937</v>
      </c>
      <c r="E38" s="27">
        <f>D38/Assumptions!$D$6-1</f>
        <v>0.77409287692497775</v>
      </c>
      <c r="F38" s="30">
        <v>0.25</v>
      </c>
      <c r="G38" s="31">
        <f>D38*F38</f>
        <v>107.71848425469234</v>
      </c>
    </row>
    <row r="39" spans="1:11" ht="15" customHeight="1" x14ac:dyDescent="0.45">
      <c r="B39" s="19" t="s">
        <v>431</v>
      </c>
      <c r="D39" s="110">
        <f>K23</f>
        <v>238.04631880220461</v>
      </c>
      <c r="E39" s="27">
        <f>D39/Assumptions!$D$6-1</f>
        <v>-1.9861165223351573E-2</v>
      </c>
      <c r="F39" s="30">
        <v>0.5</v>
      </c>
      <c r="G39" s="31">
        <f>D39*F39</f>
        <v>119.0231594011023</v>
      </c>
    </row>
    <row r="40" spans="1:11" ht="15" customHeight="1" x14ac:dyDescent="0.45">
      <c r="B40" s="19" t="s">
        <v>432</v>
      </c>
      <c r="D40" s="110">
        <f>K33</f>
        <v>123.55212776093292</v>
      </c>
      <c r="E40" s="27">
        <f>D40/Assumptions!$D$6-1</f>
        <v>-0.49128287659680936</v>
      </c>
      <c r="F40" s="30">
        <v>0.25</v>
      </c>
      <c r="G40" s="31">
        <f>D40*F40</f>
        <v>30.88803194023323</v>
      </c>
    </row>
    <row r="41" spans="1:11" ht="15" customHeight="1" x14ac:dyDescent="0.45">
      <c r="B41" s="19" t="s">
        <v>433</v>
      </c>
      <c r="G41" s="103">
        <f>SUM(G38:G40)</f>
        <v>257.62967559602788</v>
      </c>
    </row>
    <row r="42" spans="1:11" ht="15" customHeight="1" x14ac:dyDescent="0.45">
      <c r="B42" s="19" t="s">
        <v>434</v>
      </c>
      <c r="F42" s="38">
        <f>SUM(F38:F40)</f>
        <v>1</v>
      </c>
    </row>
    <row r="44" spans="1:11" ht="49.5" customHeight="1" x14ac:dyDescent="0.45">
      <c r="B44" s="39"/>
    </row>
  </sheetData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Assumptions</vt:lpstr>
      <vt:lpstr>Historicals</vt:lpstr>
      <vt:lpstr>RevBuild</vt:lpstr>
      <vt:lpstr>Model</vt:lpstr>
      <vt:lpstr>Ratios</vt:lpstr>
      <vt:lpstr>WACC</vt:lpstr>
      <vt:lpstr>Sensitivity</vt:lpstr>
      <vt:lpstr>DCF</vt:lpstr>
      <vt:lpstr>SOTP</vt:lpstr>
      <vt:lpstr>Comps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Nair</cp:lastModifiedBy>
  <cp:revision>0</cp:revision>
  <dcterms:created xsi:type="dcterms:W3CDTF">2026-08-14T07:39:47Z</dcterms:created>
  <dcterms:modified xsi:type="dcterms:W3CDTF">2026-08-16T19:55:07Z</dcterms:modified>
  <dc:language>en-US</dc:language>
</cp:coreProperties>
</file>